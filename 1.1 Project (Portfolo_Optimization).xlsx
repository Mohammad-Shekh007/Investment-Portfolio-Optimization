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Old Data\Siena\GBUS 630\Classwork after mid term\Projects\"/>
    </mc:Choice>
  </mc:AlternateContent>
  <xr:revisionPtr revIDLastSave="0" documentId="13_ncr:1_{172597CF-6C74-4568-BD60-C5E8701405C8}" xr6:coauthVersionLast="47" xr6:coauthVersionMax="47" xr10:uidLastSave="{00000000-0000-0000-0000-000000000000}"/>
  <bookViews>
    <workbookView xWindow="-108" yWindow="-108" windowWidth="23256" windowHeight="12456" xr2:uid="{6713AF97-9A7F-48B4-8810-F18A9291A00E}"/>
  </bookViews>
  <sheets>
    <sheet name="Project Objective" sheetId="14" r:id="rId1"/>
    <sheet name="Optimal 1" sheetId="10" r:id="rId2"/>
    <sheet name="Optimal 2" sheetId="13" r:id="rId3"/>
    <sheet name="Simulation" sheetId="12" r:id="rId4"/>
    <sheet name="S&amp;P 500" sheetId="1" r:id="rId5"/>
    <sheet name="Vanguard Total bond market indx" sheetId="2" r:id="rId6"/>
    <sheet name="TB3MS" sheetId="3" r:id="rId7"/>
    <sheet name="QQQ (Nasdaq)" sheetId="4" r:id="rId8"/>
    <sheet name="IWM(Russel 2000)" sheetId="5" r:id="rId9"/>
    <sheet name="VNQ- Real Estate" sheetId="6" r:id="rId10"/>
    <sheet name="Gold" sheetId="7" r:id="rId11"/>
    <sheet name="FTSE Developed Markets" sheetId="8" r:id="rId12"/>
  </sheets>
  <definedNames>
    <definedName name="_xlnm._FilterDatabase" localSheetId="11" hidden="1">'FTSE Developed Markets'!$A$1:$H$195</definedName>
    <definedName name="_xlnm._FilterDatabase" localSheetId="10" hidden="1">Gold!$A$1:$H$195</definedName>
    <definedName name="_xlnm._FilterDatabase" localSheetId="8" hidden="1">'IWM(Russel 2000)'!$A$1:$I$195</definedName>
    <definedName name="_xlnm._FilterDatabase" localSheetId="7" hidden="1">'QQQ (Nasdaq)'!$A$1:$H$195</definedName>
    <definedName name="_xlnm._FilterDatabase" localSheetId="4" hidden="1">'S&amp;P 500'!$A$1:$I$193</definedName>
    <definedName name="_xlnm._FilterDatabase" localSheetId="5" hidden="1">'Vanguard Total bond market indx'!$A$1:$I$194</definedName>
    <definedName name="_xlnm._FilterDatabase" localSheetId="9" hidden="1">'VNQ- Real Estate'!$A$1:$H$195</definedName>
    <definedName name="solver_adj" localSheetId="1" hidden="1">'Optimal 1'!$Z$20:$Z$27</definedName>
    <definedName name="solver_adj" localSheetId="2" hidden="1">'Optimal 2'!$Z$20:$Z$27</definedName>
    <definedName name="solver_cvg" localSheetId="1" hidden="1">0.0001</definedName>
    <definedName name="solver_cvg" localSheetId="2" hidden="1">0.0001</definedName>
    <definedName name="solver_drv" localSheetId="1" hidden="1">1</definedName>
    <definedName name="solver_drv" localSheetId="2" hidden="1">1</definedName>
    <definedName name="solver_eng" localSheetId="1" hidden="1">2</definedName>
    <definedName name="solver_eng" localSheetId="2" hidden="1">2</definedName>
    <definedName name="solver_est" localSheetId="1" hidden="1">1</definedName>
    <definedName name="solver_est" localSheetId="2" hidden="1">1</definedName>
    <definedName name="solver_itr" localSheetId="1" hidden="1">2147483647</definedName>
    <definedName name="solver_itr" localSheetId="2" hidden="1">2147483647</definedName>
    <definedName name="solver_lhs1" localSheetId="1" hidden="1">'Optimal 1'!$Z$20:$Z$27</definedName>
    <definedName name="solver_lhs1" localSheetId="2" hidden="1">'Optimal 2'!$AD$33</definedName>
    <definedName name="solver_lhs2" localSheetId="1" hidden="1">'Optimal 1'!$Z$33</definedName>
    <definedName name="solver_lhs2" localSheetId="2" hidden="1">'Optimal 2'!$Z$20:$Z$27</definedName>
    <definedName name="solver_lhs3" localSheetId="1" hidden="1">'Optimal 1'!$Z$34</definedName>
    <definedName name="solver_lhs3" localSheetId="2" hidden="1">'Optimal 2'!$Z$33</definedName>
    <definedName name="solver_lhs4" localSheetId="1" hidden="1">'Optimal 1'!$Z$35:$Z$36</definedName>
    <definedName name="solver_lhs4" localSheetId="2" hidden="1">'Optimal 2'!$Z$34</definedName>
    <definedName name="solver_lhs5" localSheetId="2" hidden="1">'Optimal 2'!$Z$35:$Z$36</definedName>
    <definedName name="solver_mip" localSheetId="1" hidden="1">2147483647</definedName>
    <definedName name="solver_mip" localSheetId="2" hidden="1">2147483647</definedName>
    <definedName name="solver_mni" localSheetId="1" hidden="1">30</definedName>
    <definedName name="solver_mni" localSheetId="2" hidden="1">30</definedName>
    <definedName name="solver_mrt" localSheetId="1" hidden="1">0.075</definedName>
    <definedName name="solver_mrt" localSheetId="2" hidden="1">0.075</definedName>
    <definedName name="solver_msl" localSheetId="1" hidden="1">2</definedName>
    <definedName name="solver_msl" localSheetId="2" hidden="1">2</definedName>
    <definedName name="solver_neg" localSheetId="1" hidden="1">1</definedName>
    <definedName name="solver_neg" localSheetId="2" hidden="1">1</definedName>
    <definedName name="solver_nod" localSheetId="1" hidden="1">2147483647</definedName>
    <definedName name="solver_nod" localSheetId="2" hidden="1">2147483647</definedName>
    <definedName name="solver_num" localSheetId="1" hidden="1">4</definedName>
    <definedName name="solver_num" localSheetId="2" hidden="1">5</definedName>
    <definedName name="solver_nwt" localSheetId="1" hidden="1">1</definedName>
    <definedName name="solver_nwt" localSheetId="2" hidden="1">1</definedName>
    <definedName name="solver_opt" localSheetId="1" hidden="1">'Optimal 1'!$Z$29</definedName>
    <definedName name="solver_opt" localSheetId="2" hidden="1">'Optimal 2'!$Z$29</definedName>
    <definedName name="solver_pre" localSheetId="1" hidden="1">0.000001</definedName>
    <definedName name="solver_pre" localSheetId="2" hidden="1">0.000001</definedName>
    <definedName name="solver_rbv" localSheetId="1" hidden="1">1</definedName>
    <definedName name="solver_rbv" localSheetId="2" hidden="1">1</definedName>
    <definedName name="solver_rel1" localSheetId="1" hidden="1">5</definedName>
    <definedName name="solver_rel1" localSheetId="2" hidden="1">1</definedName>
    <definedName name="solver_rel2" localSheetId="1" hidden="1">2</definedName>
    <definedName name="solver_rel2" localSheetId="2" hidden="1">5</definedName>
    <definedName name="solver_rel3" localSheetId="1" hidden="1">1</definedName>
    <definedName name="solver_rel3" localSheetId="2" hidden="1">2</definedName>
    <definedName name="solver_rel4" localSheetId="1" hidden="1">3</definedName>
    <definedName name="solver_rel4" localSheetId="2" hidden="1">1</definedName>
    <definedName name="solver_rel5" localSheetId="2" hidden="1">3</definedName>
    <definedName name="solver_rhs1" localSheetId="1" hidden="1">"binary"</definedName>
    <definedName name="solver_rhs1" localSheetId="2" hidden="1">'Optimal 2'!$AF$33</definedName>
    <definedName name="solver_rhs2" localSheetId="1" hidden="1">'Optimal 1'!$AB$33</definedName>
    <definedName name="solver_rhs2" localSheetId="2" hidden="1">"binary"</definedName>
    <definedName name="solver_rhs3" localSheetId="1" hidden="1">'Optimal 1'!$AB$34</definedName>
    <definedName name="solver_rhs3" localSheetId="2" hidden="1">'Optimal 2'!$AB$33</definedName>
    <definedName name="solver_rhs4" localSheetId="1" hidden="1">'Optimal 1'!$AB$35:$AB$36</definedName>
    <definedName name="solver_rhs4" localSheetId="2" hidden="1">'Optimal 2'!$AB$34</definedName>
    <definedName name="solver_rhs5" localSheetId="2" hidden="1">'Optimal 2'!$AB$35:$AB$36</definedName>
    <definedName name="solver_rlx" localSheetId="1" hidden="1">2</definedName>
    <definedName name="solver_rlx" localSheetId="2" hidden="1">2</definedName>
    <definedName name="solver_rsd" localSheetId="1" hidden="1">0</definedName>
    <definedName name="solver_rsd" localSheetId="2" hidden="1">0</definedName>
    <definedName name="solver_scl" localSheetId="1" hidden="1">1</definedName>
    <definedName name="solver_scl" localSheetId="2" hidden="1">1</definedName>
    <definedName name="solver_sho" localSheetId="1" hidden="1">2</definedName>
    <definedName name="solver_sho" localSheetId="2" hidden="1">2</definedName>
    <definedName name="solver_ssz" localSheetId="1" hidden="1">100</definedName>
    <definedName name="solver_ssz" localSheetId="2" hidden="1">100</definedName>
    <definedName name="solver_tim" localSheetId="1" hidden="1">2147483647</definedName>
    <definedName name="solver_tim" localSheetId="2" hidden="1">2147483647</definedName>
    <definedName name="solver_tol" localSheetId="1" hidden="1">0.01</definedName>
    <definedName name="solver_tol" localSheetId="2" hidden="1">0.01</definedName>
    <definedName name="solver_typ" localSheetId="1" hidden="1">1</definedName>
    <definedName name="solver_typ" localSheetId="2" hidden="1">1</definedName>
    <definedName name="solver_val" localSheetId="1" hidden="1">0</definedName>
    <definedName name="solver_val" localSheetId="2" hidden="1">0</definedName>
    <definedName name="solver_ver" localSheetId="1" hidden="1">3</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D33" i="13" l="1"/>
  <c r="AB36" i="13"/>
  <c r="Z36" i="13"/>
  <c r="Z35" i="13"/>
  <c r="Z34" i="13"/>
  <c r="AB33" i="13"/>
  <c r="Z33" i="13"/>
  <c r="Z29" i="13"/>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B7" i="12"/>
  <c r="B6" i="12"/>
  <c r="B4" i="12"/>
  <c r="B5" i="12"/>
  <c r="B8" i="12"/>
  <c r="B9" i="12"/>
  <c r="B10" i="12"/>
  <c r="B3" i="12"/>
  <c r="C23" i="12" l="1"/>
  <c r="I3" i="12" s="1"/>
  <c r="B23" i="12"/>
  <c r="H3" i="12" s="1"/>
  <c r="AB36" i="10"/>
  <c r="Z36" i="10"/>
  <c r="Z35" i="10"/>
  <c r="Z34" i="10"/>
  <c r="AB33" i="10"/>
  <c r="Z33" i="10"/>
  <c r="Z29" i="10"/>
  <c r="I199" i="8"/>
  <c r="I198" i="8"/>
  <c r="I198" i="7"/>
  <c r="I197" i="7"/>
  <c r="I198" i="6"/>
  <c r="I197" i="6"/>
  <c r="I198" i="5"/>
  <c r="I197" i="5"/>
  <c r="I199" i="4"/>
  <c r="I198" i="4"/>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3"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H195" i="8"/>
  <c r="H2"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3" i="7"/>
  <c r="H194" i="7"/>
  <c r="H193" i="7"/>
  <c r="H192" i="7"/>
  <c r="H191" i="7"/>
  <c r="H190" i="7"/>
  <c r="H189" i="7"/>
  <c r="H188" i="7"/>
  <c r="H187" i="7"/>
  <c r="H186" i="7"/>
  <c r="H185" i="7"/>
  <c r="H184" i="7"/>
  <c r="H183" i="7"/>
  <c r="H182" i="7"/>
  <c r="H181" i="7"/>
  <c r="H180" i="7"/>
  <c r="H179" i="7"/>
  <c r="H178" i="7"/>
  <c r="H177" i="7"/>
  <c r="H176" i="7"/>
  <c r="H175" i="7"/>
  <c r="H174" i="7"/>
  <c r="H173" i="7"/>
  <c r="H172" i="7"/>
  <c r="H171" i="7"/>
  <c r="H170" i="7"/>
  <c r="H169" i="7"/>
  <c r="H168" i="7"/>
  <c r="H167" i="7"/>
  <c r="H166" i="7"/>
  <c r="H165" i="7"/>
  <c r="H164" i="7"/>
  <c r="H163" i="7"/>
  <c r="H162" i="7"/>
  <c r="H161" i="7"/>
  <c r="H160" i="7"/>
  <c r="H159" i="7"/>
  <c r="H158" i="7"/>
  <c r="H157" i="7"/>
  <c r="H156" i="7"/>
  <c r="H155" i="7"/>
  <c r="H154" i="7"/>
  <c r="H153" i="7"/>
  <c r="H152" i="7"/>
  <c r="H151" i="7"/>
  <c r="H150" i="7"/>
  <c r="H149" i="7"/>
  <c r="H148" i="7"/>
  <c r="H147" i="7"/>
  <c r="H146" i="7"/>
  <c r="H145" i="7"/>
  <c r="H144" i="7"/>
  <c r="H143" i="7"/>
  <c r="H142" i="7"/>
  <c r="H141" i="7"/>
  <c r="H140" i="7"/>
  <c r="H139" i="7"/>
  <c r="H138" i="7"/>
  <c r="H137" i="7"/>
  <c r="H136" i="7"/>
  <c r="H135" i="7"/>
  <c r="H134" i="7"/>
  <c r="H133" i="7"/>
  <c r="H132" i="7"/>
  <c r="H131" i="7"/>
  <c r="H130" i="7"/>
  <c r="H129" i="7"/>
  <c r="H128" i="7"/>
  <c r="H127" i="7"/>
  <c r="H12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195" i="7"/>
  <c r="H2"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3" i="6"/>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3" i="5"/>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3" i="4"/>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4" i="6"/>
  <c r="H143" i="6"/>
  <c r="H142" i="6"/>
  <c r="H141" i="6"/>
  <c r="H140" i="6"/>
  <c r="H139" i="6"/>
  <c r="H138" i="6"/>
  <c r="H137" i="6"/>
  <c r="H136" i="6"/>
  <c r="H135" i="6"/>
  <c r="H134" i="6"/>
  <c r="H133" i="6"/>
  <c r="H132" i="6"/>
  <c r="H131" i="6"/>
  <c r="H130" i="6"/>
  <c r="H129" i="6"/>
  <c r="H128" i="6"/>
  <c r="H127" i="6"/>
  <c r="H126" i="6"/>
  <c r="H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195" i="6"/>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 r="I2" i="2"/>
  <c r="O3" i="12" l="1"/>
  <c r="O4" i="12"/>
  <c r="N3" i="12"/>
  <c r="N4" i="12"/>
  <c r="J3" i="12"/>
  <c r="Q6" i="12" s="1"/>
  <c r="B196" i="3"/>
  <c r="B195"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2" i="3"/>
  <c r="H4" i="2"/>
  <c r="H196" i="2" s="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3" i="2"/>
  <c r="H4" i="1"/>
  <c r="H5" i="1"/>
  <c r="H6" i="1"/>
  <c r="H7" i="1"/>
  <c r="H8" i="1"/>
  <c r="H9" i="1"/>
  <c r="H10" i="1"/>
  <c r="H11" i="1"/>
  <c r="H198" i="1" s="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3" i="1"/>
  <c r="H197" i="2"/>
  <c r="H197" i="1"/>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194" i="2"/>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<sst xmlns="http://schemas.openxmlformats.org/spreadsheetml/2006/main" count="284" uniqueCount="82">
  <si>
    <t>Date</t>
  </si>
  <si>
    <t>Open</t>
  </si>
  <si>
    <t>High</t>
  </si>
  <si>
    <t>Low</t>
  </si>
  <si>
    <t>Close </t>
  </si>
  <si>
    <t>Adj Close </t>
  </si>
  <si>
    <t>Volume</t>
  </si>
  <si>
    <t>observation_date</t>
  </si>
  <si>
    <t>TB3MS</t>
  </si>
  <si>
    <t>Returns</t>
  </si>
  <si>
    <t>Dividend Check</t>
  </si>
  <si>
    <t>Average</t>
  </si>
  <si>
    <t>Std. Dev</t>
  </si>
  <si>
    <t>Monthly Returns</t>
  </si>
  <si>
    <t>Montly Return</t>
  </si>
  <si>
    <t>Return</t>
  </si>
  <si>
    <t>Std Dev</t>
  </si>
  <si>
    <t>Wealth Management Portfolio Construction Problem</t>
  </si>
  <si>
    <r>
      <t xml:space="preserve">A wealth manager is constructing a model portfolio for a client with </t>
    </r>
    <r>
      <rPr>
        <b/>
        <sz val="11"/>
        <color theme="1"/>
        <rFont val="Calibri"/>
        <family val="2"/>
      </rPr>
      <t>$1,000,000</t>
    </r>
    <r>
      <rPr>
        <sz val="11"/>
        <color theme="1"/>
        <rFont val="Calibri"/>
        <family val="2"/>
      </rPr>
      <t xml:space="preserve"> available for investment.</t>
    </r>
  </si>
  <si>
    <t>The manager may invest in the following asset classes:</t>
  </si>
  <si>
    <t>Asset</t>
  </si>
  <si>
    <t>SPY (S&amp;P 500 ETF)</t>
  </si>
  <si>
    <t>QQQ (NASDAQ 100 ETF)</t>
  </si>
  <si>
    <t>IWM (Russell 2000 ETF)</t>
  </si>
  <si>
    <t>VEA (Developed International Markets ETF)</t>
  </si>
  <si>
    <t>VNQ (Real Estate ETF)</t>
  </si>
  <si>
    <t>GLD (Gold ETF)</t>
  </si>
  <si>
    <t>BND (Total Bond Market ETF)</t>
  </si>
  <si>
    <t>Treasury Bills (TB3MS)</t>
  </si>
  <si>
    <t>Historical monthly return data from 2010–2025 has been collected for each asset class. The expected monthly return for each asset is estimated using its historical average monthly return.</t>
  </si>
  <si>
    <t>The wealth manager wishes to maximize the portfolio's expected monthly return while ensuring that:</t>
  </si>
  <si>
    <r>
      <t>Exactly 5 asset classes</t>
    </r>
    <r>
      <rPr>
        <sz val="11"/>
        <color theme="1"/>
        <rFont val="Calibri"/>
        <family val="2"/>
      </rPr>
      <t xml:space="preserve"> will be included in the portfolio.</t>
    </r>
  </si>
  <si>
    <r>
      <t>No more than 2 Growth assets</t>
    </r>
    <r>
      <rPr>
        <sz val="11"/>
        <color theme="1"/>
        <rFont val="Calibri"/>
        <family val="2"/>
      </rPr>
      <t xml:space="preserve"> may be selected.</t>
    </r>
  </si>
  <si>
    <r>
      <t>At least 1 Income asset</t>
    </r>
    <r>
      <rPr>
        <sz val="11"/>
        <color theme="1"/>
        <rFont val="Calibri"/>
        <family val="2"/>
      </rPr>
      <t xml:space="preserve"> must be selected.</t>
    </r>
  </si>
  <si>
    <r>
      <t xml:space="preserve">The number of </t>
    </r>
    <r>
      <rPr>
        <b/>
        <sz val="11"/>
        <color theme="1"/>
        <rFont val="Calibri"/>
        <family val="2"/>
      </rPr>
      <t>Defensive assets</t>
    </r>
    <r>
      <rPr>
        <sz val="11"/>
        <color theme="1"/>
        <rFont val="Calibri"/>
        <family val="2"/>
      </rPr>
      <t xml:space="preserve"> selected must be at least as many as the number of Growth assets selected.</t>
    </r>
  </si>
  <si>
    <t>S &amp; P 500</t>
  </si>
  <si>
    <t>SD</t>
  </si>
  <si>
    <t>Verbal Model</t>
  </si>
  <si>
    <t>Maximize the portfolio expected monthly return</t>
  </si>
  <si>
    <t>Growth</t>
  </si>
  <si>
    <t>Income</t>
  </si>
  <si>
    <t>Defensive</t>
  </si>
  <si>
    <t>Objective</t>
  </si>
  <si>
    <t>Constraints</t>
  </si>
  <si>
    <t>Exactly 5 asset classes will be included</t>
  </si>
  <si>
    <t>No more than 2 growth assets can be included</t>
  </si>
  <si>
    <t>At least 1 income asset must be selected</t>
  </si>
  <si>
    <t>Number of defensive assets must be at least as many as growth assets</t>
  </si>
  <si>
    <t>Decision Variables</t>
  </si>
  <si>
    <t>Xi</t>
  </si>
  <si>
    <t>=1 if asset is selected, 0 otherwise</t>
  </si>
  <si>
    <t>i= 1,2,…..8</t>
  </si>
  <si>
    <t>Mathematical Model</t>
  </si>
  <si>
    <t>Max 1.24 X1 + 1.68 X2 + 1.09 X3 + 0.83 X4…0.12 X8</t>
  </si>
  <si>
    <t>X1 + X2 + X3 +....X8 = 5</t>
  </si>
  <si>
    <t>X1 + X2 + X3 &lt;= 2</t>
  </si>
  <si>
    <t>X5 + X7 + X8 &gt;= 1</t>
  </si>
  <si>
    <t>X6 + X7 + X8 &gt;= X1 + X2 + X3</t>
  </si>
  <si>
    <t>Xi binary</t>
  </si>
  <si>
    <t>Spreadsheet Model</t>
  </si>
  <si>
    <t>Parameters</t>
  </si>
  <si>
    <t>No.of Investments</t>
  </si>
  <si>
    <t>Max Growth Assets</t>
  </si>
  <si>
    <t>Min Income Assets</t>
  </si>
  <si>
    <t>Model</t>
  </si>
  <si>
    <t>Expected Return</t>
  </si>
  <si>
    <t>No. of Investments</t>
  </si>
  <si>
    <t>=</t>
  </si>
  <si>
    <t xml:space="preserve">Growth Assets </t>
  </si>
  <si>
    <t>&lt;=</t>
  </si>
  <si>
    <t>Income Assets</t>
  </si>
  <si>
    <t>&gt;=</t>
  </si>
  <si>
    <t>Defensive Vs Growth Assets</t>
  </si>
  <si>
    <t>Optimal</t>
  </si>
  <si>
    <t>2nd Best</t>
  </si>
  <si>
    <t>Simulation</t>
  </si>
  <si>
    <t>Trials</t>
  </si>
  <si>
    <t>Optimal Profit</t>
  </si>
  <si>
    <t>Mean</t>
  </si>
  <si>
    <t>Probability (Optimal &gt; 2nd Best)</t>
  </si>
  <si>
    <t>2nd Best Scenario Constraint</t>
  </si>
  <si>
    <t>This indicates that no more than 3 asset classes can overlap with Optimal 1 Asset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</si>
</sst>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b/>
      <sz val="11"/>
      <color theme="1"/>
      <name val="Calibri"/>
      <family val="2"/>
    </font>
    <font>
      <b/>
      <sz val="24"/>
      <color theme="1"/>
      <name val="Calibri"/>
      <family val="2"/>
    </font>
  </fonts>
  <fills count="4">
    <fill>
      <patternFill patternType="none"/>
    </fill>
    <fill>
      <patternFill patternType="gray125"/>
    </fill>
    <fill>
      <patternFill patternType="solid">
        <fgColor rgb="FFFFFF00"/>
        <bgColor indexed="64"/>
      </patternFill>
    </fill>
    <fill>
      <patternFill patternType="solid">
        <fgColor rgb="FF00FE7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14" fontId="0" fillId="0" borderId="0" xfId="0" applyNumberFormat="1"/>
    <xf numFmtId="0" fontId="1" fillId="0" borderId="0" xfId="0" applyFont="1"/>
    <xf numFmtId="10" fontId="0" fillId="0" borderId="0" xfId="0" applyNumberFormat="1"/>
    <xf numFmtId="10" fontId="1" fillId="0" borderId="0" xfId="0" applyNumberFormat="1" applyFont="1"/>
    <xf numFmtId="0" fontId="0" fillId="0" borderId="0" xfId="0" applyAlignment="1">
      <alignment vertical="center"/>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wrapText="1"/>
    </xf>
    <xf numFmtId="0" fontId="0" fillId="0" borderId="0" xfId="0" applyAlignment="1">
      <alignment horizontal="right" vertical="center" wrapText="1"/>
    </xf>
    <xf numFmtId="10" fontId="0" fillId="0" borderId="0" xfId="0" applyNumberFormat="1" applyAlignment="1">
      <alignment horizontal="right" vertical="center" wrapText="1"/>
    </xf>
    <xf numFmtId="0" fontId="0" fillId="0" borderId="0" xfId="0" applyAlignment="1">
      <alignment horizontal="right" vertical="center"/>
    </xf>
    <xf numFmtId="0" fontId="1" fillId="0" borderId="0" xfId="0" applyFont="1" applyAlignment="1">
      <alignment horizontal="center" vertical="center"/>
    </xf>
    <xf numFmtId="0" fontId="1" fillId="0" borderId="0" xfId="0" applyFont="1" applyAlignment="1">
      <alignment horizontal="right" vertical="center"/>
    </xf>
    <xf numFmtId="10" fontId="0" fillId="0" borderId="0" xfId="0" applyNumberFormat="1" applyAlignment="1">
      <alignment horizontal="right" vertical="center"/>
    </xf>
    <xf numFmtId="0" fontId="0" fillId="0" borderId="0" xfId="0" quotePrefix="1"/>
    <xf numFmtId="0" fontId="1" fillId="0" borderId="0" xfId="0" applyFont="1" applyAlignment="1">
      <alignment vertical="center"/>
    </xf>
    <xf numFmtId="0" fontId="0" fillId="2" borderId="0" xfId="0" applyFill="1"/>
    <xf numFmtId="10" fontId="0" fillId="2" borderId="0" xfId="0" applyNumberFormat="1" applyFill="1"/>
    <xf numFmtId="0" fontId="0" fillId="0" borderId="0" xfId="0" applyAlignment="1">
      <alignment horizontal="center"/>
    </xf>
    <xf numFmtId="0" fontId="1" fillId="0" borderId="1" xfId="0" applyFont="1" applyBorder="1"/>
    <xf numFmtId="10" fontId="0" fillId="0" borderId="1" xfId="0" applyNumberFormat="1" applyBorder="1"/>
    <xf numFmtId="0" fontId="0" fillId="0" borderId="1" xfId="0" applyBorder="1" applyAlignment="1">
      <alignment horizontal="right" vertical="center"/>
    </xf>
    <xf numFmtId="0" fontId="0" fillId="0" borderId="1" xfId="0" applyBorder="1" applyAlignment="1">
      <alignment vertical="center"/>
    </xf>
    <xf numFmtId="0" fontId="1" fillId="0" borderId="1" xfId="0" applyFont="1" applyBorder="1" applyAlignment="1">
      <alignment horizontal="center" vertical="center" wrapText="1"/>
    </xf>
    <xf numFmtId="0" fontId="1" fillId="3" borderId="1" xfId="0" applyFont="1" applyFill="1" applyBorder="1" applyAlignment="1">
      <alignment horizontal="center"/>
    </xf>
    <xf numFmtId="0" fontId="1" fillId="0" borderId="1" xfId="0" applyFont="1" applyBorder="1" applyAlignment="1">
      <alignment horizontal="center"/>
    </xf>
    <xf numFmtId="10" fontId="0" fillId="3" borderId="1" xfId="0" applyNumberFormat="1" applyFill="1" applyBorder="1" applyAlignment="1">
      <alignment horizontal="center"/>
    </xf>
    <xf numFmtId="10" fontId="0" fillId="0" borderId="1" xfId="0" applyNumberFormat="1" applyBorder="1" applyAlignment="1">
      <alignment horizontal="center"/>
    </xf>
    <xf numFmtId="0" fontId="1" fillId="0" borderId="1" xfId="0" applyFont="1" applyBorder="1" applyAlignment="1">
      <alignment wrapText="1"/>
    </xf>
    <xf numFmtId="0" fontId="0" fillId="0" borderId="0" xfId="0" quotePrefix="1" applyAlignment="1">
      <alignment horizontal="center"/>
    </xf>
  </cellXfs>
  <cellStyles count="1">
    <cellStyle name="Normal" xfId="0" builtinId="0"/>
  </cellStyles>
  <dxfs count="0"/>
  <tableStyles count="0" defaultTableStyle="TableStyleMedium2" defaultPivotStyle="PivotStyleLight16"/>
  <colors>
    <mruColors>
      <color rgb="FF00FE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0</xdr:rowOff>
    </xdr:from>
    <xdr:to>
      <xdr:col>14</xdr:col>
      <xdr:colOff>312420</xdr:colOff>
      <xdr:row>36</xdr:row>
      <xdr:rowOff>0</xdr:rowOff>
    </xdr:to>
    <xdr:sp macro="" textlink="">
      <xdr:nvSpPr>
        <xdr:cNvPr id="12289" name="Text Box 1">
          <a:extLst>
            <a:ext uri="{FF2B5EF4-FFF2-40B4-BE49-F238E27FC236}">
              <a16:creationId xmlns:a16="http://schemas.microsoft.com/office/drawing/2014/main" id="{6A72DA31-5438-3022-419F-922921449CE4}"/>
            </a:ext>
          </a:extLst>
        </xdr:cNvPr>
        <xdr:cNvSpPr txBox="1">
          <a:spLocks noChangeArrowheads="1"/>
        </xdr:cNvSpPr>
      </xdr:nvSpPr>
      <xdr:spPr bwMode="auto">
        <a:xfrm>
          <a:off x="152400" y="182880"/>
          <a:ext cx="8694420" cy="64008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r>
            <a:rPr lang="en-US" sz="1400" b="1"/>
            <a:t>Project Objective:</a:t>
          </a:r>
        </a:p>
        <a:p>
          <a:endParaRPr lang="en-US"/>
        </a:p>
        <a:p>
          <a:r>
            <a:rPr lang="en-US" sz="1150"/>
            <a:t>The objective of this project is to construct an optimal wealth management portfolio using historical market data and mathematical optimization techniques.</a:t>
          </a:r>
        </a:p>
        <a:p>
          <a:endParaRPr lang="en-US" sz="1150"/>
        </a:p>
        <a:p>
          <a:r>
            <a:rPr lang="en-US" sz="1150"/>
            <a:t>Historical monthly return data were collected for eight asset classes representing U.S. equities, international equities, real estate, gold, bonds, and cash equivalents over the period 2010–2025. The expected monthly return for each asset class was estimated using its historical average monthly return, while risk was measured using the historical standard deviation of monthly returns.</a:t>
          </a:r>
        </a:p>
        <a:p>
          <a:endParaRPr lang="en-US" sz="1150"/>
        </a:p>
        <a:p>
          <a:r>
            <a:rPr lang="en-US" sz="1150"/>
            <a:t>A client has $1,000,000 available for investment. The wealth manager must determine which asset classes should be included in the portfolio in order to maximize expected monthly return while satisfying a set of investment policy constraints.</a:t>
          </a:r>
        </a:p>
        <a:p>
          <a:endParaRPr lang="en-US" sz="1150"/>
        </a:p>
        <a:p>
          <a:r>
            <a:rPr lang="en-US" sz="1150"/>
            <a:t>To ensure an appropriate balance between growth potential, income generation, and capital preservation, the asset classes are categorized as Growth, Income, and Defensive investments. The portfolio selection process is subject to the following constraints:</a:t>
          </a:r>
        </a:p>
        <a:p>
          <a:endParaRPr lang="en-US" sz="1150"/>
        </a:p>
        <a:p>
          <a:r>
            <a:rPr lang="en-US" sz="1150"/>
            <a:t>• Exactly 5 asset classes must be selected.</a:t>
          </a:r>
        </a:p>
        <a:p>
          <a:r>
            <a:rPr lang="en-US" sz="1150"/>
            <a:t>• No more than 2 Growth assets may be selected.</a:t>
          </a:r>
        </a:p>
        <a:p>
          <a:r>
            <a:rPr lang="en-US" sz="1150"/>
            <a:t>• At least 1 Income asset must be selected.</a:t>
          </a:r>
        </a:p>
        <a:p>
          <a:r>
            <a:rPr lang="en-US" sz="1150"/>
            <a:t>• The number of Defensive assets selected must be greater than or equal to the number of Growth assets selected.</a:t>
          </a:r>
        </a:p>
        <a:p>
          <a:endParaRPr lang="en-US" sz="1150"/>
        </a:p>
        <a:p>
          <a:r>
            <a:rPr lang="en-US" sz="1150"/>
            <a:t>Excel Solver is used to identify the portfolio that maximizes expected monthly return while satisfying all investment constraints. This solution is referred to as the Optimal Portfolio.</a:t>
          </a:r>
        </a:p>
        <a:p>
          <a:endParaRPr lang="en-US" sz="1150"/>
        </a:p>
        <a:p>
          <a:r>
            <a:rPr lang="en-US" sz="1150"/>
            <a:t>To evaluate whether alternative portfolio combinations could provide comparable performance, a second optimization model is developed. An additional diversification constraint is introduced requiring that no more than 3 of the 5 asset classes selected in the Optimal Portfolio (Optimal</a:t>
          </a:r>
          <a:r>
            <a:rPr lang="en-US" sz="1150" baseline="0"/>
            <a:t> 1)</a:t>
          </a:r>
          <a:r>
            <a:rPr lang="en-US" sz="1150"/>
            <a:t> may also appear in the Second-Best Portfolio (Optimal</a:t>
          </a:r>
          <a:r>
            <a:rPr lang="en-US" sz="1150" baseline="0"/>
            <a:t> 2)</a:t>
          </a:r>
          <a:r>
            <a:rPr lang="en-US" sz="1150"/>
            <a:t>. This forces the model to identify a different portfolio composition while still maximizing expected return under the original investment policy constraints.</a:t>
          </a:r>
        </a:p>
        <a:p>
          <a:endParaRPr lang="en-US" sz="1150"/>
        </a:p>
        <a:p>
          <a:r>
            <a:rPr lang="en-US" sz="1150"/>
            <a:t>Monte Carlo simulation is then performed using 1,000 randomly generated scenarios based on the historical return and risk characteristics of each portfolio constructed</a:t>
          </a:r>
          <a:r>
            <a:rPr lang="en-US" sz="1150" baseline="0"/>
            <a:t> (Optimal 1 and Optimal 2)</a:t>
          </a:r>
          <a:r>
            <a:rPr lang="en-US" sz="1150"/>
            <a:t>. The purpose of the simulation is to test the robustness of the optimization results under uncertainty and determine whether the portfolio identified by the linear optimization model (Optimal</a:t>
          </a:r>
          <a:r>
            <a:rPr lang="en-US" sz="1150" baseline="0"/>
            <a:t> 1)</a:t>
          </a:r>
          <a:r>
            <a:rPr lang="en-US" sz="1150"/>
            <a:t> consistently outperforms the alternative portfolio (Optimal 1) across a wide range of possible market conditions.</a:t>
          </a:r>
        </a:p>
        <a:p>
          <a:endParaRPr lang="en-US" sz="1150"/>
        </a:p>
        <a:p>
          <a:r>
            <a:rPr lang="en-US" sz="1150"/>
            <a:t>The results provide insight into portfolio construction, diversification benefits, risk-return trade-offs, and the reliability of optimization-based investment decisions under uncertain market environments.</a:t>
          </a:r>
        </a:p>
        <a:p>
          <a:pPr algn="l" rtl="0">
            <a:defRPr sz="1000"/>
          </a:pPr>
          <a:endParaRPr lang="en-US" sz="1100" b="0" i="0" u="none" strike="noStrike" baseline="0">
            <a:solidFill>
              <a:srgbClr val="000000"/>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16933</xdr:colOff>
      <xdr:row>6</xdr:row>
      <xdr:rowOff>245533</xdr:rowOff>
    </xdr:from>
    <xdr:to>
      <xdr:col>20</xdr:col>
      <xdr:colOff>465667</xdr:colOff>
      <xdr:row>12</xdr:row>
      <xdr:rowOff>67733</xdr:rowOff>
    </xdr:to>
    <xdr:sp macro="" textlink="">
      <xdr:nvSpPr>
        <xdr:cNvPr id="3074" name="Text Box 2">
          <a:extLst>
            <a:ext uri="{FF2B5EF4-FFF2-40B4-BE49-F238E27FC236}">
              <a16:creationId xmlns:a16="http://schemas.microsoft.com/office/drawing/2014/main" id="{C6ABE7CD-4093-E321-786A-912C5C540C75}"/>
            </a:ext>
          </a:extLst>
        </xdr:cNvPr>
        <xdr:cNvSpPr txBox="1">
          <a:spLocks noChangeArrowheads="1"/>
        </xdr:cNvSpPr>
      </xdr:nvSpPr>
      <xdr:spPr bwMode="auto">
        <a:xfrm>
          <a:off x="9516533" y="1769533"/>
          <a:ext cx="5452534" cy="13462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400" b="1" i="0" u="sng" strike="noStrike" baseline="0">
              <a:solidFill>
                <a:srgbClr val="000000"/>
              </a:solidFill>
              <a:latin typeface="Calibri"/>
              <a:ea typeface="Calibri"/>
              <a:cs typeface="Calibri"/>
            </a:rPr>
            <a:t>Conclusion:</a:t>
          </a:r>
        </a:p>
        <a:p>
          <a:pPr algn="l" rtl="0">
            <a:defRPr sz="1000"/>
          </a:pPr>
          <a:endParaRPr lang="en-US" sz="1150" b="1" i="0" u="none" strike="noStrike" baseline="0">
            <a:solidFill>
              <a:srgbClr val="000000"/>
            </a:solidFill>
            <a:latin typeface="Calibri"/>
            <a:ea typeface="Calibri"/>
            <a:cs typeface="Calibri"/>
          </a:endParaRPr>
        </a:p>
        <a:p>
          <a:pPr algn="l" rtl="0">
            <a:defRPr sz="1000"/>
          </a:pPr>
          <a:r>
            <a:rPr lang="en-US" sz="1150" b="1" i="0" u="none" strike="noStrike" baseline="0">
              <a:solidFill>
                <a:srgbClr val="000000"/>
              </a:solidFill>
              <a:latin typeface="Calibri"/>
              <a:ea typeface="Calibri"/>
              <a:cs typeface="Calibri"/>
            </a:rPr>
            <a:t>Portfolio 1 is recommended because it achieved the higher expected return and marginally outperformed Portfolio 2 in Monte Carlo simulations. However, the small difference suggests that both portfolios are viable investment choices and perform </a:t>
          </a:r>
        </a:p>
        <a:p>
          <a:pPr algn="l" rtl="0">
            <a:defRPr sz="1000"/>
          </a:pPr>
          <a:r>
            <a:rPr lang="en-US" sz="1150" b="1" i="0" u="none" strike="noStrike" baseline="0">
              <a:solidFill>
                <a:srgbClr val="000000"/>
              </a:solidFill>
              <a:latin typeface="Calibri"/>
              <a:ea typeface="Calibri"/>
              <a:cs typeface="Calibri"/>
            </a:rPr>
            <a:t>almost similarly under uncertainty.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8FF6B-A65A-4F7A-86E9-4CFDCFB2B741}">
  <dimension ref="A1"/>
  <sheetViews>
    <sheetView tabSelected="1" workbookViewId="0">
      <selection activeCell="Q33" sqref="Q33"/>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BE84-902A-4424-9DAF-FD8036AEEC5E}">
  <dimension ref="A1:AD36"/>
  <sheetViews>
    <sheetView topLeftCell="J20" workbookViewId="0">
      <selection activeCell="D3" sqref="D3"/>
    </sheetView>
  </sheetViews>
  <sheetFormatPr defaultRowHeight="14.4" x14ac:dyDescent="0.3"/>
  <cols>
    <col min="1" max="1" width="49.33203125" customWidth="1"/>
    <col min="6" max="6" width="9.88671875" customWidth="1"/>
    <col min="25" max="25" width="36.77734375" customWidth="1"/>
    <col min="30" max="30" width="10.44140625" customWidth="1"/>
  </cols>
  <sheetData>
    <row r="1" spans="1:30" ht="31.2" x14ac:dyDescent="0.3">
      <c r="A1" s="6" t="s">
        <v>17</v>
      </c>
    </row>
    <row r="2" spans="1:30" x14ac:dyDescent="0.3">
      <c r="I2" s="2" t="s">
        <v>37</v>
      </c>
      <c r="Q2" s="2" t="s">
        <v>52</v>
      </c>
      <c r="Y2" s="2" t="s">
        <v>59</v>
      </c>
    </row>
    <row r="3" spans="1:30" x14ac:dyDescent="0.3">
      <c r="A3" t="s">
        <v>18</v>
      </c>
    </row>
    <row r="4" spans="1:30" x14ac:dyDescent="0.3">
      <c r="H4" s="2" t="s">
        <v>42</v>
      </c>
      <c r="I4" t="s">
        <v>38</v>
      </c>
      <c r="Q4" s="2" t="s">
        <v>42</v>
      </c>
      <c r="R4" t="s">
        <v>53</v>
      </c>
      <c r="Y4" s="2" t="s">
        <v>60</v>
      </c>
    </row>
    <row r="5" spans="1:30" ht="19.95" customHeight="1" x14ac:dyDescent="0.3">
      <c r="A5" t="s">
        <v>19</v>
      </c>
      <c r="Y5" s="23" t="s">
        <v>20</v>
      </c>
      <c r="Z5" s="23" t="s">
        <v>11</v>
      </c>
      <c r="AA5" s="23" t="s">
        <v>36</v>
      </c>
      <c r="AB5" s="23" t="s">
        <v>39</v>
      </c>
      <c r="AC5" s="23" t="s">
        <v>40</v>
      </c>
      <c r="AD5" s="23" t="s">
        <v>41</v>
      </c>
    </row>
    <row r="6" spans="1:30" x14ac:dyDescent="0.3">
      <c r="Y6" s="26" t="s">
        <v>21</v>
      </c>
      <c r="Z6" s="24">
        <v>1.24E-2</v>
      </c>
      <c r="AA6" s="24">
        <v>4.2000000000000003E-2</v>
      </c>
      <c r="AB6" s="25">
        <v>1</v>
      </c>
      <c r="AC6" s="25">
        <v>0</v>
      </c>
      <c r="AD6" s="25">
        <v>0</v>
      </c>
    </row>
    <row r="7" spans="1:30" ht="19.95" customHeight="1" x14ac:dyDescent="0.3">
      <c r="A7" s="27" t="s">
        <v>20</v>
      </c>
      <c r="B7" s="23" t="s">
        <v>11</v>
      </c>
      <c r="C7" s="23" t="s">
        <v>36</v>
      </c>
      <c r="D7" s="32" t="s">
        <v>39</v>
      </c>
      <c r="E7" s="32" t="s">
        <v>40</v>
      </c>
      <c r="F7" s="32" t="s">
        <v>41</v>
      </c>
      <c r="H7" s="2" t="s">
        <v>43</v>
      </c>
      <c r="Q7" s="2" t="s">
        <v>43</v>
      </c>
      <c r="Y7" s="26" t="s">
        <v>22</v>
      </c>
      <c r="Z7" s="24">
        <v>1.6799999999999999E-2</v>
      </c>
      <c r="AA7" s="24">
        <v>5.0700000000000002E-2</v>
      </c>
      <c r="AB7" s="25">
        <v>1</v>
      </c>
      <c r="AC7" s="25">
        <v>0</v>
      </c>
      <c r="AD7" s="25">
        <v>0</v>
      </c>
    </row>
    <row r="8" spans="1:30" ht="19.95" customHeight="1" x14ac:dyDescent="0.3">
      <c r="A8" s="26" t="s">
        <v>21</v>
      </c>
      <c r="B8" s="24">
        <v>1.24E-2</v>
      </c>
      <c r="C8" s="24">
        <v>4.2000000000000003E-2</v>
      </c>
      <c r="D8" s="25">
        <v>1</v>
      </c>
      <c r="E8" s="25">
        <v>0</v>
      </c>
      <c r="F8" s="25">
        <v>0</v>
      </c>
      <c r="G8" s="15"/>
      <c r="H8" s="16"/>
      <c r="I8" t="s">
        <v>44</v>
      </c>
      <c r="J8" s="16"/>
      <c r="K8" s="16"/>
      <c r="L8" s="16"/>
      <c r="R8" t="s">
        <v>54</v>
      </c>
      <c r="Y8" s="26" t="s">
        <v>23</v>
      </c>
      <c r="Z8" s="24">
        <v>1.09E-2</v>
      </c>
      <c r="AA8" s="24">
        <v>5.62E-2</v>
      </c>
      <c r="AB8" s="25">
        <v>1</v>
      </c>
      <c r="AC8" s="25">
        <v>0</v>
      </c>
      <c r="AD8" s="25">
        <v>0</v>
      </c>
    </row>
    <row r="9" spans="1:30" ht="19.95" customHeight="1" x14ac:dyDescent="0.3">
      <c r="A9" s="26" t="s">
        <v>22</v>
      </c>
      <c r="B9" s="24">
        <v>1.6799999999999999E-2</v>
      </c>
      <c r="C9" s="24">
        <v>5.0700000000000002E-2</v>
      </c>
      <c r="D9" s="25">
        <v>1</v>
      </c>
      <c r="E9" s="25">
        <v>0</v>
      </c>
      <c r="F9" s="25">
        <v>0</v>
      </c>
      <c r="G9" s="5"/>
      <c r="H9" s="17"/>
      <c r="I9" t="s">
        <v>45</v>
      </c>
      <c r="J9" s="14"/>
      <c r="K9" s="14"/>
      <c r="L9" s="14"/>
      <c r="R9" t="s">
        <v>55</v>
      </c>
      <c r="Y9" s="26" t="s">
        <v>24</v>
      </c>
      <c r="Z9" s="24">
        <v>8.3000000000000001E-3</v>
      </c>
      <c r="AA9" s="24">
        <v>4.6800000000000001E-2</v>
      </c>
      <c r="AB9" s="25">
        <v>1</v>
      </c>
      <c r="AC9" s="25">
        <v>0</v>
      </c>
      <c r="AD9" s="25">
        <v>0</v>
      </c>
    </row>
    <row r="10" spans="1:30" ht="19.95" customHeight="1" x14ac:dyDescent="0.3">
      <c r="A10" s="26" t="s">
        <v>23</v>
      </c>
      <c r="B10" s="24">
        <v>1.09E-2</v>
      </c>
      <c r="C10" s="24">
        <v>5.62E-2</v>
      </c>
      <c r="D10" s="25">
        <v>1</v>
      </c>
      <c r="E10" s="25">
        <v>0</v>
      </c>
      <c r="F10" s="25">
        <v>0</v>
      </c>
      <c r="G10" s="5"/>
      <c r="H10" s="17"/>
      <c r="I10" t="s">
        <v>46</v>
      </c>
      <c r="J10" s="14"/>
      <c r="K10" s="14"/>
      <c r="L10" s="14"/>
      <c r="R10" t="s">
        <v>56</v>
      </c>
      <c r="Y10" s="26" t="s">
        <v>25</v>
      </c>
      <c r="Z10" s="24">
        <v>8.5000000000000006E-3</v>
      </c>
      <c r="AA10" s="24">
        <v>5.0999999999999997E-2</v>
      </c>
      <c r="AB10" s="25">
        <v>0</v>
      </c>
      <c r="AC10" s="25">
        <v>1</v>
      </c>
      <c r="AD10" s="25">
        <v>0</v>
      </c>
    </row>
    <row r="11" spans="1:30" ht="19.95" customHeight="1" x14ac:dyDescent="0.3">
      <c r="A11" s="26" t="s">
        <v>24</v>
      </c>
      <c r="B11" s="24">
        <v>8.3000000000000001E-3</v>
      </c>
      <c r="C11" s="24">
        <v>4.6800000000000001E-2</v>
      </c>
      <c r="D11" s="25">
        <v>1</v>
      </c>
      <c r="E11" s="25">
        <v>0</v>
      </c>
      <c r="F11" s="25">
        <v>0</v>
      </c>
      <c r="G11" s="5"/>
      <c r="H11" s="17"/>
      <c r="I11" t="s">
        <v>47</v>
      </c>
      <c r="J11" s="14"/>
      <c r="K11" s="14"/>
      <c r="L11" s="14"/>
      <c r="R11" t="s">
        <v>57</v>
      </c>
      <c r="Y11" s="26" t="s">
        <v>26</v>
      </c>
      <c r="Z11" s="24">
        <v>7.1000000000000004E-3</v>
      </c>
      <c r="AA11" s="24">
        <v>4.7399999999999998E-2</v>
      </c>
      <c r="AB11" s="25">
        <v>0</v>
      </c>
      <c r="AC11" s="25">
        <v>0</v>
      </c>
      <c r="AD11" s="25">
        <v>1</v>
      </c>
    </row>
    <row r="12" spans="1:30" ht="19.95" customHeight="1" x14ac:dyDescent="0.3">
      <c r="A12" s="26" t="s">
        <v>25</v>
      </c>
      <c r="B12" s="24">
        <v>8.5000000000000006E-3</v>
      </c>
      <c r="C12" s="24">
        <v>5.0999999999999997E-2</v>
      </c>
      <c r="D12" s="25">
        <v>0</v>
      </c>
      <c r="E12" s="25">
        <v>1</v>
      </c>
      <c r="F12" s="25">
        <v>0</v>
      </c>
      <c r="G12" s="5"/>
      <c r="H12" s="17"/>
      <c r="J12" s="14"/>
      <c r="K12" s="14"/>
      <c r="L12" s="14"/>
      <c r="Y12" s="26" t="s">
        <v>27</v>
      </c>
      <c r="Z12" s="24">
        <v>2E-3</v>
      </c>
      <c r="AA12" s="24">
        <v>1.32E-2</v>
      </c>
      <c r="AB12" s="25">
        <v>0</v>
      </c>
      <c r="AC12" s="25">
        <v>1</v>
      </c>
      <c r="AD12" s="25">
        <v>1</v>
      </c>
    </row>
    <row r="13" spans="1:30" ht="19.95" customHeight="1" x14ac:dyDescent="0.3">
      <c r="A13" s="26" t="s">
        <v>26</v>
      </c>
      <c r="B13" s="24">
        <v>7.1000000000000004E-3</v>
      </c>
      <c r="C13" s="24">
        <v>4.7399999999999998E-2</v>
      </c>
      <c r="D13" s="25">
        <v>0</v>
      </c>
      <c r="E13" s="25">
        <v>0</v>
      </c>
      <c r="F13" s="25">
        <v>1</v>
      </c>
      <c r="G13" s="5"/>
      <c r="H13" s="17"/>
      <c r="J13" s="14"/>
      <c r="K13" s="14"/>
      <c r="L13" s="14"/>
      <c r="R13" t="s">
        <v>58</v>
      </c>
      <c r="Y13" s="26" t="s">
        <v>28</v>
      </c>
      <c r="Z13" s="24">
        <v>1.1999999999999999E-3</v>
      </c>
      <c r="AA13" s="24">
        <v>1.5E-3</v>
      </c>
      <c r="AB13" s="25">
        <v>0</v>
      </c>
      <c r="AC13" s="25">
        <v>1</v>
      </c>
      <c r="AD13" s="25">
        <v>1</v>
      </c>
    </row>
    <row r="14" spans="1:30" ht="19.95" customHeight="1" x14ac:dyDescent="0.3">
      <c r="A14" s="26" t="s">
        <v>27</v>
      </c>
      <c r="B14" s="24">
        <v>2E-3</v>
      </c>
      <c r="C14" s="24">
        <v>1.32E-2</v>
      </c>
      <c r="D14" s="25">
        <v>0</v>
      </c>
      <c r="E14" s="25">
        <v>1</v>
      </c>
      <c r="F14" s="25">
        <v>1</v>
      </c>
      <c r="G14" s="5"/>
      <c r="H14" s="2" t="s">
        <v>48</v>
      </c>
      <c r="J14" s="14"/>
      <c r="K14" s="14"/>
      <c r="L14" s="14"/>
    </row>
    <row r="15" spans="1:30" ht="19.95" customHeight="1" x14ac:dyDescent="0.3">
      <c r="A15" s="26" t="s">
        <v>28</v>
      </c>
      <c r="B15" s="24">
        <v>1.1999999999999999E-3</v>
      </c>
      <c r="C15" s="24">
        <v>1.5E-3</v>
      </c>
      <c r="D15" s="25">
        <v>0</v>
      </c>
      <c r="E15" s="25">
        <v>1</v>
      </c>
      <c r="F15" s="25">
        <v>1</v>
      </c>
      <c r="G15" s="5"/>
      <c r="H15" t="s">
        <v>49</v>
      </c>
      <c r="I15" s="18" t="s">
        <v>50</v>
      </c>
      <c r="J15" s="14"/>
      <c r="K15" s="14"/>
      <c r="L15" s="14"/>
      <c r="Y15" s="5" t="s">
        <v>61</v>
      </c>
      <c r="Z15">
        <v>5</v>
      </c>
    </row>
    <row r="16" spans="1:30" x14ac:dyDescent="0.3">
      <c r="G16" s="8"/>
      <c r="H16" s="13"/>
      <c r="I16" t="s">
        <v>51</v>
      </c>
      <c r="J16" s="12"/>
      <c r="K16" s="12"/>
      <c r="L16" s="12"/>
      <c r="Y16" s="5" t="s">
        <v>62</v>
      </c>
      <c r="Z16">
        <v>2</v>
      </c>
    </row>
    <row r="17" spans="1:26" ht="57.6" x14ac:dyDescent="0.3">
      <c r="A17" s="11" t="s">
        <v>29</v>
      </c>
      <c r="Y17" s="5" t="s">
        <v>63</v>
      </c>
      <c r="Z17">
        <v>1</v>
      </c>
    </row>
    <row r="18" spans="1:26" ht="19.95" customHeight="1" x14ac:dyDescent="0.3"/>
    <row r="19" spans="1:26" ht="19.95" customHeight="1" x14ac:dyDescent="0.3">
      <c r="A19" t="s">
        <v>30</v>
      </c>
      <c r="Y19" s="2" t="s">
        <v>64</v>
      </c>
    </row>
    <row r="20" spans="1:26" ht="19.95" customHeight="1" x14ac:dyDescent="0.3">
      <c r="A20" s="9"/>
      <c r="Y20" s="5" t="s">
        <v>21</v>
      </c>
      <c r="Z20" s="20">
        <v>1</v>
      </c>
    </row>
    <row r="21" spans="1:26" ht="19.95" customHeight="1" x14ac:dyDescent="0.3">
      <c r="A21" s="10" t="s">
        <v>31</v>
      </c>
      <c r="Y21" s="5" t="s">
        <v>22</v>
      </c>
      <c r="Z21" s="20">
        <v>1</v>
      </c>
    </row>
    <row r="22" spans="1:26" ht="19.95" customHeight="1" x14ac:dyDescent="0.3">
      <c r="A22" s="10" t="s">
        <v>32</v>
      </c>
      <c r="Y22" s="5" t="s">
        <v>23</v>
      </c>
      <c r="Z22" s="20">
        <v>0</v>
      </c>
    </row>
    <row r="23" spans="1:26" ht="19.95" customHeight="1" x14ac:dyDescent="0.3">
      <c r="A23" s="10" t="s">
        <v>33</v>
      </c>
      <c r="Y23" s="5" t="s">
        <v>24</v>
      </c>
      <c r="Z23" s="20">
        <v>0</v>
      </c>
    </row>
    <row r="24" spans="1:26" ht="19.95" customHeight="1" x14ac:dyDescent="0.3">
      <c r="A24" s="9" t="s">
        <v>34</v>
      </c>
      <c r="Y24" s="5" t="s">
        <v>25</v>
      </c>
      <c r="Z24" s="20">
        <v>1</v>
      </c>
    </row>
    <row r="25" spans="1:26" ht="19.95" customHeight="1" x14ac:dyDescent="0.3">
      <c r="Y25" s="5" t="s">
        <v>26</v>
      </c>
      <c r="Z25" s="20">
        <v>1</v>
      </c>
    </row>
    <row r="26" spans="1:26" ht="19.95" customHeight="1" x14ac:dyDescent="0.3">
      <c r="Y26" s="5" t="s">
        <v>27</v>
      </c>
      <c r="Z26" s="20">
        <v>1</v>
      </c>
    </row>
    <row r="27" spans="1:26" ht="19.95" customHeight="1" x14ac:dyDescent="0.3">
      <c r="Y27" s="5" t="s">
        <v>28</v>
      </c>
      <c r="Z27" s="20">
        <v>0</v>
      </c>
    </row>
    <row r="29" spans="1:26" x14ac:dyDescent="0.3">
      <c r="Y29" s="19" t="s">
        <v>65</v>
      </c>
      <c r="Z29" s="4">
        <f>SUMPRODUCT(Z20:Z27,Z6:Z13)</f>
        <v>4.6800000000000001E-2</v>
      </c>
    </row>
    <row r="32" spans="1:26" x14ac:dyDescent="0.3">
      <c r="Y32" s="2" t="s">
        <v>43</v>
      </c>
    </row>
    <row r="33" spans="25:28" x14ac:dyDescent="0.3">
      <c r="Y33" t="s">
        <v>66</v>
      </c>
      <c r="Z33">
        <f>SUM(Z20:Z27)</f>
        <v>5</v>
      </c>
      <c r="AA33" s="18" t="s">
        <v>67</v>
      </c>
      <c r="AB33">
        <f>Z15</f>
        <v>5</v>
      </c>
    </row>
    <row r="34" spans="25:28" x14ac:dyDescent="0.3">
      <c r="Y34" t="s">
        <v>68</v>
      </c>
      <c r="Z34">
        <f>SUMPRODUCT(Z20:Z27,AB6:AB13)</f>
        <v>2</v>
      </c>
      <c r="AA34" t="s">
        <v>69</v>
      </c>
      <c r="AB34">
        <v>2</v>
      </c>
    </row>
    <row r="35" spans="25:28" x14ac:dyDescent="0.3">
      <c r="Y35" t="s">
        <v>70</v>
      </c>
      <c r="Z35">
        <f>SUMPRODUCT(Z20:Z27,AC6:AC13)</f>
        <v>2</v>
      </c>
      <c r="AA35" t="s">
        <v>71</v>
      </c>
      <c r="AB35">
        <v>1</v>
      </c>
    </row>
    <row r="36" spans="25:28" x14ac:dyDescent="0.3">
      <c r="Y36" t="s">
        <v>72</v>
      </c>
      <c r="Z36">
        <f>SUMPRODUCT(Z20:Z27,AD6:AD13)</f>
        <v>2</v>
      </c>
      <c r="AA36" t="s">
        <v>71</v>
      </c>
      <c r="AB36">
        <f>SUMPRODUCT(Z20:Z27,AB6:AB13)</f>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B138-A4FA-4327-9669-590E80FC1885}">
  <dimension ref="A1:AG36"/>
  <sheetViews>
    <sheetView topLeftCell="J16" workbookViewId="0">
      <selection activeCell="G5" sqref="G5"/>
    </sheetView>
  </sheetViews>
  <sheetFormatPr defaultRowHeight="14.4" x14ac:dyDescent="0.3"/>
  <cols>
    <col min="1" max="1" width="49.33203125" customWidth="1"/>
    <col min="6" max="6" width="9.88671875" customWidth="1"/>
    <col min="25" max="25" width="36.77734375" customWidth="1"/>
    <col min="30" max="30" width="10.44140625" customWidth="1"/>
  </cols>
  <sheetData>
    <row r="1" spans="1:30" ht="31.2" x14ac:dyDescent="0.3">
      <c r="A1" s="6" t="s">
        <v>17</v>
      </c>
    </row>
    <row r="2" spans="1:30" x14ac:dyDescent="0.3">
      <c r="I2" s="2" t="s">
        <v>37</v>
      </c>
      <c r="Q2" s="2" t="s">
        <v>52</v>
      </c>
      <c r="Y2" s="2" t="s">
        <v>59</v>
      </c>
    </row>
    <row r="3" spans="1:30" x14ac:dyDescent="0.3">
      <c r="A3" t="s">
        <v>18</v>
      </c>
    </row>
    <row r="4" spans="1:30" x14ac:dyDescent="0.3">
      <c r="H4" s="2" t="s">
        <v>42</v>
      </c>
      <c r="I4" t="s">
        <v>38</v>
      </c>
      <c r="Q4" s="2" t="s">
        <v>42</v>
      </c>
      <c r="R4" t="s">
        <v>53</v>
      </c>
      <c r="Y4" s="2" t="s">
        <v>60</v>
      </c>
    </row>
    <row r="5" spans="1:30" ht="19.95" customHeight="1" x14ac:dyDescent="0.3">
      <c r="A5" t="s">
        <v>19</v>
      </c>
      <c r="Y5" s="23" t="s">
        <v>20</v>
      </c>
      <c r="Z5" s="23" t="s">
        <v>11</v>
      </c>
      <c r="AA5" s="23" t="s">
        <v>36</v>
      </c>
      <c r="AB5" s="23" t="s">
        <v>39</v>
      </c>
      <c r="AC5" s="23" t="s">
        <v>40</v>
      </c>
      <c r="AD5" s="23" t="s">
        <v>41</v>
      </c>
    </row>
    <row r="6" spans="1:30" x14ac:dyDescent="0.3">
      <c r="Y6" s="26" t="s">
        <v>21</v>
      </c>
      <c r="Z6" s="24">
        <v>1.24E-2</v>
      </c>
      <c r="AA6" s="24">
        <v>4.2000000000000003E-2</v>
      </c>
      <c r="AB6" s="25">
        <v>1</v>
      </c>
      <c r="AC6" s="25">
        <v>0</v>
      </c>
      <c r="AD6" s="25">
        <v>0</v>
      </c>
    </row>
    <row r="7" spans="1:30" ht="19.95" customHeight="1" x14ac:dyDescent="0.3">
      <c r="A7" s="27" t="s">
        <v>20</v>
      </c>
      <c r="B7" s="23" t="s">
        <v>11</v>
      </c>
      <c r="C7" s="23" t="s">
        <v>36</v>
      </c>
      <c r="D7" s="32" t="s">
        <v>39</v>
      </c>
      <c r="E7" s="32" t="s">
        <v>40</v>
      </c>
      <c r="F7" s="32" t="s">
        <v>41</v>
      </c>
      <c r="H7" s="2" t="s">
        <v>43</v>
      </c>
      <c r="Q7" s="2" t="s">
        <v>43</v>
      </c>
      <c r="Y7" s="26" t="s">
        <v>22</v>
      </c>
      <c r="Z7" s="24">
        <v>1.6799999999999999E-2</v>
      </c>
      <c r="AA7" s="24">
        <v>5.0700000000000002E-2</v>
      </c>
      <c r="AB7" s="25">
        <v>1</v>
      </c>
      <c r="AC7" s="25">
        <v>0</v>
      </c>
      <c r="AD7" s="25">
        <v>0</v>
      </c>
    </row>
    <row r="8" spans="1:30" ht="19.95" customHeight="1" x14ac:dyDescent="0.3">
      <c r="A8" s="26" t="s">
        <v>21</v>
      </c>
      <c r="B8" s="24">
        <v>1.24E-2</v>
      </c>
      <c r="C8" s="24">
        <v>4.2000000000000003E-2</v>
      </c>
      <c r="D8" s="25">
        <v>1</v>
      </c>
      <c r="E8" s="25">
        <v>0</v>
      </c>
      <c r="F8" s="25">
        <v>0</v>
      </c>
      <c r="G8" s="15"/>
      <c r="H8" s="16"/>
      <c r="I8" t="s">
        <v>44</v>
      </c>
      <c r="J8" s="16"/>
      <c r="K8" s="16"/>
      <c r="L8" s="16"/>
      <c r="R8" t="s">
        <v>54</v>
      </c>
      <c r="Y8" s="26" t="s">
        <v>23</v>
      </c>
      <c r="Z8" s="24">
        <v>1.09E-2</v>
      </c>
      <c r="AA8" s="24">
        <v>5.62E-2</v>
      </c>
      <c r="AB8" s="25">
        <v>1</v>
      </c>
      <c r="AC8" s="25">
        <v>0</v>
      </c>
      <c r="AD8" s="25">
        <v>0</v>
      </c>
    </row>
    <row r="9" spans="1:30" ht="19.95" customHeight="1" x14ac:dyDescent="0.3">
      <c r="A9" s="26" t="s">
        <v>22</v>
      </c>
      <c r="B9" s="24">
        <v>1.6799999999999999E-2</v>
      </c>
      <c r="C9" s="24">
        <v>5.0700000000000002E-2</v>
      </c>
      <c r="D9" s="25">
        <v>1</v>
      </c>
      <c r="E9" s="25">
        <v>0</v>
      </c>
      <c r="F9" s="25">
        <v>0</v>
      </c>
      <c r="G9" s="5"/>
      <c r="H9" s="17"/>
      <c r="I9" t="s">
        <v>45</v>
      </c>
      <c r="J9" s="14"/>
      <c r="K9" s="14"/>
      <c r="L9" s="14"/>
      <c r="R9" t="s">
        <v>55</v>
      </c>
      <c r="Y9" s="26" t="s">
        <v>24</v>
      </c>
      <c r="Z9" s="24">
        <v>8.3000000000000001E-3</v>
      </c>
      <c r="AA9" s="24">
        <v>4.6800000000000001E-2</v>
      </c>
      <c r="AB9" s="25">
        <v>1</v>
      </c>
      <c r="AC9" s="25">
        <v>0</v>
      </c>
      <c r="AD9" s="25">
        <v>0</v>
      </c>
    </row>
    <row r="10" spans="1:30" ht="19.95" customHeight="1" x14ac:dyDescent="0.3">
      <c r="A10" s="26" t="s">
        <v>23</v>
      </c>
      <c r="B10" s="24">
        <v>1.09E-2</v>
      </c>
      <c r="C10" s="24">
        <v>5.62E-2</v>
      </c>
      <c r="D10" s="25">
        <v>1</v>
      </c>
      <c r="E10" s="25">
        <v>0</v>
      </c>
      <c r="F10" s="25">
        <v>0</v>
      </c>
      <c r="G10" s="5"/>
      <c r="H10" s="17"/>
      <c r="I10" t="s">
        <v>46</v>
      </c>
      <c r="J10" s="14"/>
      <c r="K10" s="14"/>
      <c r="L10" s="14"/>
      <c r="R10" t="s">
        <v>56</v>
      </c>
      <c r="Y10" s="26" t="s">
        <v>25</v>
      </c>
      <c r="Z10" s="24">
        <v>8.5000000000000006E-3</v>
      </c>
      <c r="AA10" s="24">
        <v>5.0999999999999997E-2</v>
      </c>
      <c r="AB10" s="25">
        <v>0</v>
      </c>
      <c r="AC10" s="25">
        <v>1</v>
      </c>
      <c r="AD10" s="25">
        <v>0</v>
      </c>
    </row>
    <row r="11" spans="1:30" ht="19.95" customHeight="1" x14ac:dyDescent="0.3">
      <c r="A11" s="26" t="s">
        <v>24</v>
      </c>
      <c r="B11" s="24">
        <v>8.3000000000000001E-3</v>
      </c>
      <c r="C11" s="24">
        <v>4.6800000000000001E-2</v>
      </c>
      <c r="D11" s="25">
        <v>1</v>
      </c>
      <c r="E11" s="25">
        <v>0</v>
      </c>
      <c r="F11" s="25">
        <v>0</v>
      </c>
      <c r="G11" s="5"/>
      <c r="H11" s="17"/>
      <c r="I11" t="s">
        <v>47</v>
      </c>
      <c r="J11" s="14"/>
      <c r="K11" s="14"/>
      <c r="L11" s="14"/>
      <c r="R11" t="s">
        <v>57</v>
      </c>
      <c r="Y11" s="26" t="s">
        <v>26</v>
      </c>
      <c r="Z11" s="24">
        <v>7.1000000000000004E-3</v>
      </c>
      <c r="AA11" s="24">
        <v>4.7399999999999998E-2</v>
      </c>
      <c r="AB11" s="25">
        <v>0</v>
      </c>
      <c r="AC11" s="25">
        <v>0</v>
      </c>
      <c r="AD11" s="25">
        <v>1</v>
      </c>
    </row>
    <row r="12" spans="1:30" ht="19.95" customHeight="1" x14ac:dyDescent="0.3">
      <c r="A12" s="26" t="s">
        <v>25</v>
      </c>
      <c r="B12" s="24">
        <v>8.5000000000000006E-3</v>
      </c>
      <c r="C12" s="24">
        <v>5.0999999999999997E-2</v>
      </c>
      <c r="D12" s="25">
        <v>0</v>
      </c>
      <c r="E12" s="25">
        <v>1</v>
      </c>
      <c r="F12" s="25">
        <v>0</v>
      </c>
      <c r="G12" s="5"/>
      <c r="H12" s="17"/>
      <c r="J12" s="14"/>
      <c r="K12" s="14"/>
      <c r="L12" s="14"/>
      <c r="Y12" s="26" t="s">
        <v>27</v>
      </c>
      <c r="Z12" s="24">
        <v>2E-3</v>
      </c>
      <c r="AA12" s="24">
        <v>1.32E-2</v>
      </c>
      <c r="AB12" s="25">
        <v>0</v>
      </c>
      <c r="AC12" s="25">
        <v>1</v>
      </c>
      <c r="AD12" s="25">
        <v>1</v>
      </c>
    </row>
    <row r="13" spans="1:30" ht="19.95" customHeight="1" x14ac:dyDescent="0.3">
      <c r="A13" s="26" t="s">
        <v>26</v>
      </c>
      <c r="B13" s="24">
        <v>7.1000000000000004E-3</v>
      </c>
      <c r="C13" s="24">
        <v>4.7399999999999998E-2</v>
      </c>
      <c r="D13" s="25">
        <v>0</v>
      </c>
      <c r="E13" s="25">
        <v>0</v>
      </c>
      <c r="F13" s="25">
        <v>1</v>
      </c>
      <c r="G13" s="5"/>
      <c r="H13" s="17"/>
      <c r="J13" s="14"/>
      <c r="K13" s="14"/>
      <c r="L13" s="14"/>
      <c r="R13" t="s">
        <v>58</v>
      </c>
      <c r="Y13" s="26" t="s">
        <v>28</v>
      </c>
      <c r="Z13" s="24">
        <v>1.1999999999999999E-3</v>
      </c>
      <c r="AA13" s="24">
        <v>1.5E-3</v>
      </c>
      <c r="AB13" s="25">
        <v>0</v>
      </c>
      <c r="AC13" s="25">
        <v>1</v>
      </c>
      <c r="AD13" s="25">
        <v>1</v>
      </c>
    </row>
    <row r="14" spans="1:30" ht="19.95" customHeight="1" x14ac:dyDescent="0.3">
      <c r="A14" s="26" t="s">
        <v>27</v>
      </c>
      <c r="B14" s="24">
        <v>2E-3</v>
      </c>
      <c r="C14" s="24">
        <v>1.32E-2</v>
      </c>
      <c r="D14" s="25">
        <v>0</v>
      </c>
      <c r="E14" s="25">
        <v>1</v>
      </c>
      <c r="F14" s="25">
        <v>1</v>
      </c>
      <c r="G14" s="5"/>
      <c r="H14" s="2" t="s">
        <v>48</v>
      </c>
      <c r="J14" s="14"/>
      <c r="K14" s="14"/>
      <c r="L14" s="14"/>
    </row>
    <row r="15" spans="1:30" ht="19.95" customHeight="1" x14ac:dyDescent="0.3">
      <c r="A15" s="26" t="s">
        <v>28</v>
      </c>
      <c r="B15" s="24">
        <v>1.1999999999999999E-3</v>
      </c>
      <c r="C15" s="24">
        <v>1.5E-3</v>
      </c>
      <c r="D15" s="25">
        <v>0</v>
      </c>
      <c r="E15" s="25">
        <v>1</v>
      </c>
      <c r="F15" s="25">
        <v>1</v>
      </c>
      <c r="G15" s="5"/>
      <c r="H15" t="s">
        <v>49</v>
      </c>
      <c r="I15" s="18" t="s">
        <v>50</v>
      </c>
      <c r="J15" s="14"/>
      <c r="K15" s="14"/>
      <c r="L15" s="14"/>
      <c r="Y15" s="5" t="s">
        <v>61</v>
      </c>
      <c r="Z15">
        <v>5</v>
      </c>
    </row>
    <row r="16" spans="1:30" x14ac:dyDescent="0.3">
      <c r="G16" s="8"/>
      <c r="H16" s="13"/>
      <c r="I16" t="s">
        <v>51</v>
      </c>
      <c r="J16" s="12"/>
      <c r="K16" s="12"/>
      <c r="L16" s="12"/>
      <c r="Y16" s="5" t="s">
        <v>62</v>
      </c>
      <c r="Z16">
        <v>2</v>
      </c>
    </row>
    <row r="17" spans="1:30" ht="57.6" x14ac:dyDescent="0.3">
      <c r="A17" s="11" t="s">
        <v>29</v>
      </c>
      <c r="Y17" s="5" t="s">
        <v>63</v>
      </c>
      <c r="Z17">
        <v>1</v>
      </c>
    </row>
    <row r="18" spans="1:30" ht="19.95" customHeight="1" x14ac:dyDescent="0.3"/>
    <row r="19" spans="1:30" ht="19.95" customHeight="1" x14ac:dyDescent="0.3">
      <c r="A19" t="s">
        <v>30</v>
      </c>
      <c r="Y19" s="2" t="s">
        <v>64</v>
      </c>
    </row>
    <row r="20" spans="1:30" ht="19.95" customHeight="1" x14ac:dyDescent="0.3">
      <c r="A20" s="9"/>
      <c r="Y20" s="5" t="s">
        <v>21</v>
      </c>
      <c r="Z20" s="20">
        <v>0</v>
      </c>
    </row>
    <row r="21" spans="1:30" ht="19.95" customHeight="1" x14ac:dyDescent="0.3">
      <c r="A21" s="10" t="s">
        <v>31</v>
      </c>
      <c r="Y21" s="5" t="s">
        <v>22</v>
      </c>
      <c r="Z21" s="20">
        <v>1</v>
      </c>
    </row>
    <row r="22" spans="1:30" ht="19.95" customHeight="1" x14ac:dyDescent="0.3">
      <c r="A22" s="10" t="s">
        <v>32</v>
      </c>
      <c r="Y22" s="5" t="s">
        <v>23</v>
      </c>
      <c r="Z22" s="20">
        <v>1</v>
      </c>
    </row>
    <row r="23" spans="1:30" ht="19.95" customHeight="1" x14ac:dyDescent="0.3">
      <c r="A23" s="10" t="s">
        <v>33</v>
      </c>
      <c r="Y23" s="5" t="s">
        <v>24</v>
      </c>
      <c r="Z23" s="20">
        <v>0</v>
      </c>
    </row>
    <row r="24" spans="1:30" ht="19.95" customHeight="1" x14ac:dyDescent="0.3">
      <c r="A24" s="9" t="s">
        <v>34</v>
      </c>
      <c r="Y24" s="5" t="s">
        <v>25</v>
      </c>
      <c r="Z24" s="20">
        <v>1</v>
      </c>
    </row>
    <row r="25" spans="1:30" ht="19.95" customHeight="1" x14ac:dyDescent="0.3">
      <c r="Y25" s="5" t="s">
        <v>26</v>
      </c>
      <c r="Z25" s="20">
        <v>1</v>
      </c>
    </row>
    <row r="26" spans="1:30" ht="19.95" customHeight="1" x14ac:dyDescent="0.3">
      <c r="Y26" s="5" t="s">
        <v>27</v>
      </c>
      <c r="Z26" s="20">
        <v>0</v>
      </c>
    </row>
    <row r="27" spans="1:30" ht="19.95" customHeight="1" x14ac:dyDescent="0.3">
      <c r="Y27" s="5" t="s">
        <v>28</v>
      </c>
      <c r="Z27" s="20">
        <v>1</v>
      </c>
    </row>
    <row r="29" spans="1:30" x14ac:dyDescent="0.3">
      <c r="Y29" s="19" t="s">
        <v>65</v>
      </c>
      <c r="Z29" s="4">
        <f>SUMPRODUCT(Z20:Z27,Z6:Z13)</f>
        <v>4.4499999999999998E-2</v>
      </c>
    </row>
    <row r="31" spans="1:30" x14ac:dyDescent="0.3">
      <c r="AD31" s="2" t="s">
        <v>80</v>
      </c>
    </row>
    <row r="32" spans="1:30" x14ac:dyDescent="0.3">
      <c r="Y32" s="2" t="s">
        <v>43</v>
      </c>
    </row>
    <row r="33" spans="25:33" x14ac:dyDescent="0.3">
      <c r="Y33" t="s">
        <v>66</v>
      </c>
      <c r="Z33">
        <f>SUM(Z20:Z27)</f>
        <v>5</v>
      </c>
      <c r="AA33" s="18" t="s">
        <v>67</v>
      </c>
      <c r="AB33">
        <f>Z15</f>
        <v>5</v>
      </c>
      <c r="AD33" s="22">
        <f>SUM(Z20,Z21,Z24,Z25,Z26)</f>
        <v>3</v>
      </c>
      <c r="AE33" s="22" t="s">
        <v>69</v>
      </c>
      <c r="AF33" s="22">
        <v>3</v>
      </c>
      <c r="AG33" t="s">
        <v>81</v>
      </c>
    </row>
    <row r="34" spans="25:33" x14ac:dyDescent="0.3">
      <c r="Y34" t="s">
        <v>68</v>
      </c>
      <c r="Z34">
        <f>SUMPRODUCT(Z20:Z27,AB6:AB13)</f>
        <v>2</v>
      </c>
      <c r="AA34" t="s">
        <v>69</v>
      </c>
      <c r="AB34">
        <v>2</v>
      </c>
    </row>
    <row r="35" spans="25:33" x14ac:dyDescent="0.3">
      <c r="Y35" t="s">
        <v>70</v>
      </c>
      <c r="Z35">
        <f>SUMPRODUCT(Z20:Z27,AC6:AC13)</f>
        <v>2</v>
      </c>
      <c r="AA35" t="s">
        <v>71</v>
      </c>
      <c r="AB35">
        <v>1</v>
      </c>
    </row>
    <row r="36" spans="25:33" x14ac:dyDescent="0.3">
      <c r="Y36" t="s">
        <v>72</v>
      </c>
      <c r="Z36">
        <f>SUMPRODUCT(Z20:Z27,AD6:AD13)</f>
        <v>2</v>
      </c>
      <c r="AA36" t="s">
        <v>71</v>
      </c>
      <c r="AB36">
        <f>SUMPRODUCT(Z20:Z27,AB6:AB13)</f>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C6B2C-9B55-42AF-9C83-A97115B80EF5}">
  <dimension ref="A1:Q1002"/>
  <sheetViews>
    <sheetView zoomScale="90" workbookViewId="0">
      <selection activeCell="K3" sqref="K3"/>
    </sheetView>
  </sheetViews>
  <sheetFormatPr defaultRowHeight="14.4" x14ac:dyDescent="0.3"/>
  <cols>
    <col min="1" max="1" width="36.5546875" bestFit="1" customWidth="1"/>
    <col min="8" max="8" width="13.33203125" bestFit="1" customWidth="1"/>
    <col min="9" max="9" width="8.6640625" bestFit="1" customWidth="1"/>
    <col min="15" max="15" width="10.77734375" customWidth="1"/>
  </cols>
  <sheetData>
    <row r="1" spans="1:17" ht="19.95" customHeight="1" x14ac:dyDescent="0.3">
      <c r="G1" s="2" t="s">
        <v>75</v>
      </c>
    </row>
    <row r="2" spans="1:17" ht="19.95" customHeight="1" x14ac:dyDescent="0.3">
      <c r="A2" s="27" t="s">
        <v>20</v>
      </c>
      <c r="B2" s="28" t="s">
        <v>15</v>
      </c>
      <c r="C2" s="29" t="s">
        <v>11</v>
      </c>
      <c r="D2" s="29" t="s">
        <v>36</v>
      </c>
      <c r="G2" t="s">
        <v>76</v>
      </c>
      <c r="H2" t="s">
        <v>77</v>
      </c>
      <c r="I2" t="s">
        <v>74</v>
      </c>
      <c r="N2" s="2" t="s">
        <v>73</v>
      </c>
      <c r="O2" s="2" t="s">
        <v>74</v>
      </c>
    </row>
    <row r="3" spans="1:17" ht="19.95" customHeight="1" x14ac:dyDescent="0.3">
      <c r="A3" s="26" t="s">
        <v>21</v>
      </c>
      <c r="B3" s="30">
        <f ca="1">_xlfn.NORM.INV(RAND(), C3, D3)</f>
        <v>6.7208074535897749E-2</v>
      </c>
      <c r="C3" s="31">
        <v>1.24E-2</v>
      </c>
      <c r="D3" s="31">
        <v>4.2000000000000003E-2</v>
      </c>
      <c r="G3">
        <v>1</v>
      </c>
      <c r="H3" s="3">
        <f ca="1">B23</f>
        <v>0.12218865528844097</v>
      </c>
      <c r="I3" s="3">
        <f ca="1">C23</f>
        <v>-2.5510170528997411E-3</v>
      </c>
      <c r="J3">
        <f ca="1">IF(H3&gt;I3,1,0)</f>
        <v>1</v>
      </c>
      <c r="M3" s="2" t="s">
        <v>78</v>
      </c>
      <c r="N3" s="3">
        <f ca="1">AVERAGE(H3:H1002)</f>
        <v>4.2541401446071513E-2</v>
      </c>
      <c r="O3" s="3">
        <f ca="1">AVERAGE(I3:I1002)</f>
        <v>4.1234157970429799E-2</v>
      </c>
    </row>
    <row r="4" spans="1:17" ht="19.95" customHeight="1" x14ac:dyDescent="0.3">
      <c r="A4" s="26" t="s">
        <v>22</v>
      </c>
      <c r="B4" s="30">
        <f ca="1">_xlfn.NORM.INV(RAND(), C4, D4)</f>
        <v>8.968425018795137E-2</v>
      </c>
      <c r="C4" s="31">
        <v>1.6799999999999999E-2</v>
      </c>
      <c r="D4" s="31">
        <v>5.0700000000000002E-2</v>
      </c>
      <c r="G4">
        <v>2</v>
      </c>
      <c r="H4" s="3">
        <f t="dataTable" ref="H4:I1002" dt2D="0" dtr="0" r1="M9" ca="1"/>
        <v>-0.10511011413873955</v>
      </c>
      <c r="I4" s="3">
        <v>7.0192024488503757E-3</v>
      </c>
      <c r="J4">
        <f t="shared" ref="J4:J67" si="0">IF(H4&gt;I4,1,0)</f>
        <v>0</v>
      </c>
      <c r="M4" s="2" t="s">
        <v>36</v>
      </c>
      <c r="N4" s="3">
        <f ca="1">STDEV(H3:H1002)</f>
        <v>9.7162966779535995E-2</v>
      </c>
      <c r="O4" s="3">
        <f ca="1">STDEV(I3:I1002)</f>
        <v>0.10538603932966008</v>
      </c>
    </row>
    <row r="5" spans="1:17" ht="19.95" customHeight="1" x14ac:dyDescent="0.3">
      <c r="A5" s="26" t="s">
        <v>23</v>
      </c>
      <c r="B5" s="30">
        <f t="shared" ref="B5:B10" ca="1" si="1">_xlfn.NORM.INV(RAND(), C5, D5)</f>
        <v>-7.3576212148977804E-2</v>
      </c>
      <c r="C5" s="31">
        <v>1.09E-2</v>
      </c>
      <c r="D5" s="31">
        <v>5.62E-2</v>
      </c>
      <c r="G5">
        <v>3</v>
      </c>
      <c r="H5" s="3">
        <v>-4.2382789689758268E-2</v>
      </c>
      <c r="I5" s="3">
        <v>-0.18421167556737089</v>
      </c>
      <c r="J5">
        <f t="shared" si="0"/>
        <v>1</v>
      </c>
    </row>
    <row r="6" spans="1:17" ht="19.95" customHeight="1" x14ac:dyDescent="0.3">
      <c r="A6" s="26" t="s">
        <v>24</v>
      </c>
      <c r="B6" s="30">
        <f ca="1">_xlfn.NORM.INV(RAND(), C6, D6)</f>
        <v>-2.3486538265649247E-2</v>
      </c>
      <c r="C6" s="31">
        <v>8.3000000000000001E-3</v>
      </c>
      <c r="D6" s="31">
        <v>4.6800000000000001E-2</v>
      </c>
      <c r="G6">
        <v>4</v>
      </c>
      <c r="H6" s="3">
        <v>-0.1254302735744324</v>
      </c>
      <c r="I6" s="3">
        <v>-0.13083700451648955</v>
      </c>
      <c r="J6">
        <f t="shared" si="0"/>
        <v>1</v>
      </c>
      <c r="M6" s="2" t="s">
        <v>79</v>
      </c>
      <c r="P6" s="33" t="s">
        <v>67</v>
      </c>
      <c r="Q6" s="21">
        <f ca="1">AVERAGE(J3:J1002)</f>
        <v>0.503</v>
      </c>
    </row>
    <row r="7" spans="1:17" ht="19.95" customHeight="1" x14ac:dyDescent="0.3">
      <c r="A7" s="26" t="s">
        <v>25</v>
      </c>
      <c r="B7" s="30">
        <f ca="1">_xlfn.NORM.INV(RAND(), C7, D7)</f>
        <v>1.8917505676591187E-2</v>
      </c>
      <c r="C7" s="31">
        <v>8.5000000000000006E-3</v>
      </c>
      <c r="D7" s="31">
        <v>5.0999999999999997E-2</v>
      </c>
      <c r="G7">
        <v>5</v>
      </c>
      <c r="H7" s="3">
        <v>4.990703590296041E-2</v>
      </c>
      <c r="I7" s="3">
        <v>-2.8295839285903509E-2</v>
      </c>
      <c r="J7">
        <f t="shared" si="0"/>
        <v>1</v>
      </c>
    </row>
    <row r="8" spans="1:17" ht="19.95" customHeight="1" x14ac:dyDescent="0.3">
      <c r="A8" s="26" t="s">
        <v>26</v>
      </c>
      <c r="B8" s="30">
        <f t="shared" ca="1" si="1"/>
        <v>-3.6917798343119194E-2</v>
      </c>
      <c r="C8" s="31">
        <v>7.1000000000000004E-3</v>
      </c>
      <c r="D8" s="31">
        <v>4.7399999999999998E-2</v>
      </c>
      <c r="G8">
        <v>6</v>
      </c>
      <c r="H8" s="3">
        <v>9.6544595910607687E-3</v>
      </c>
      <c r="I8" s="3">
        <v>-5.4648776270896197E-2</v>
      </c>
      <c r="J8">
        <f t="shared" si="0"/>
        <v>1</v>
      </c>
      <c r="M8" s="9"/>
    </row>
    <row r="9" spans="1:17" ht="19.95" customHeight="1" x14ac:dyDescent="0.3">
      <c r="A9" s="26" t="s">
        <v>27</v>
      </c>
      <c r="B9" s="30">
        <f t="shared" ca="1" si="1"/>
        <v>-1.6703376768880118E-2</v>
      </c>
      <c r="C9" s="31">
        <v>2E-3</v>
      </c>
      <c r="D9" s="31">
        <v>1.32E-2</v>
      </c>
      <c r="G9">
        <v>7</v>
      </c>
      <c r="H9" s="3">
        <v>0.11064494987075404</v>
      </c>
      <c r="I9" s="3">
        <v>0.13886593245278317</v>
      </c>
      <c r="J9">
        <f t="shared" si="0"/>
        <v>0</v>
      </c>
    </row>
    <row r="10" spans="1:17" ht="19.95" customHeight="1" x14ac:dyDescent="0.3">
      <c r="A10" s="26" t="s">
        <v>28</v>
      </c>
      <c r="B10" s="30">
        <f t="shared" ca="1" si="1"/>
        <v>-6.5876242534529893E-4</v>
      </c>
      <c r="C10" s="31">
        <v>1.1999999999999999E-3</v>
      </c>
      <c r="D10" s="31">
        <v>1.5E-3</v>
      </c>
      <c r="G10">
        <v>8</v>
      </c>
      <c r="H10" s="3">
        <v>0.11585787334726209</v>
      </c>
      <c r="I10" s="3">
        <v>0.13117325205818353</v>
      </c>
      <c r="J10">
        <f t="shared" si="0"/>
        <v>0</v>
      </c>
    </row>
    <row r="11" spans="1:17" ht="19.95" customHeight="1" x14ac:dyDescent="0.3">
      <c r="G11">
        <v>9</v>
      </c>
      <c r="H11" s="3">
        <v>-0.11029866278095546</v>
      </c>
      <c r="I11" s="3">
        <v>-0.24394172906513212</v>
      </c>
      <c r="J11">
        <f t="shared" si="0"/>
        <v>1</v>
      </c>
    </row>
    <row r="12" spans="1:17" ht="19.95" customHeight="1" x14ac:dyDescent="0.3">
      <c r="G12">
        <v>10</v>
      </c>
      <c r="H12" s="3">
        <v>-5.8614360515235178E-2</v>
      </c>
      <c r="I12" s="3">
        <v>1.236026517165432E-2</v>
      </c>
      <c r="J12">
        <f t="shared" si="0"/>
        <v>0</v>
      </c>
    </row>
    <row r="13" spans="1:17" ht="19.95" customHeight="1" x14ac:dyDescent="0.3">
      <c r="A13" s="7" t="s">
        <v>20</v>
      </c>
      <c r="B13" s="2" t="s">
        <v>73</v>
      </c>
      <c r="C13" s="2" t="s">
        <v>74</v>
      </c>
      <c r="G13">
        <v>11</v>
      </c>
      <c r="H13" s="3">
        <v>-1.3618227984207445E-2</v>
      </c>
      <c r="I13" s="3">
        <v>9.6868509086206006E-2</v>
      </c>
      <c r="J13">
        <f t="shared" si="0"/>
        <v>0</v>
      </c>
    </row>
    <row r="14" spans="1:17" ht="19.95" customHeight="1" x14ac:dyDescent="0.3">
      <c r="A14" s="5" t="s">
        <v>21</v>
      </c>
      <c r="B14" s="20">
        <v>1</v>
      </c>
      <c r="C14" s="20">
        <v>0</v>
      </c>
      <c r="G14">
        <v>12</v>
      </c>
      <c r="H14" s="3">
        <v>0.17911702957566741</v>
      </c>
      <c r="I14" s="3">
        <v>0.19560801392888674</v>
      </c>
      <c r="J14">
        <f t="shared" si="0"/>
        <v>0</v>
      </c>
    </row>
    <row r="15" spans="1:17" ht="19.95" customHeight="1" x14ac:dyDescent="0.3">
      <c r="A15" s="5" t="s">
        <v>22</v>
      </c>
      <c r="B15" s="20">
        <v>1</v>
      </c>
      <c r="C15" s="20">
        <v>1</v>
      </c>
      <c r="G15">
        <v>13</v>
      </c>
      <c r="H15" s="3">
        <v>-2.5030617969343097E-2</v>
      </c>
      <c r="I15" s="3">
        <v>-0.13488154742134079</v>
      </c>
      <c r="J15">
        <f t="shared" si="0"/>
        <v>1</v>
      </c>
    </row>
    <row r="16" spans="1:17" ht="19.95" customHeight="1" x14ac:dyDescent="0.3">
      <c r="A16" s="5" t="s">
        <v>23</v>
      </c>
      <c r="B16" s="20">
        <v>0</v>
      </c>
      <c r="C16" s="20">
        <v>1</v>
      </c>
      <c r="G16">
        <v>14</v>
      </c>
      <c r="H16" s="3">
        <v>6.6991881905717643E-2</v>
      </c>
      <c r="I16" s="3">
        <v>6.3625354733676323E-2</v>
      </c>
      <c r="J16">
        <f t="shared" si="0"/>
        <v>1</v>
      </c>
    </row>
    <row r="17" spans="1:10" ht="19.95" customHeight="1" x14ac:dyDescent="0.3">
      <c r="A17" s="5" t="s">
        <v>24</v>
      </c>
      <c r="B17" s="20">
        <v>0</v>
      </c>
      <c r="C17" s="20">
        <v>0</v>
      </c>
      <c r="G17">
        <v>15</v>
      </c>
      <c r="H17" s="3">
        <v>0.10043294690866433</v>
      </c>
      <c r="I17" s="3">
        <v>0.11494917584118723</v>
      </c>
      <c r="J17">
        <f t="shared" si="0"/>
        <v>0</v>
      </c>
    </row>
    <row r="18" spans="1:10" ht="19.95" customHeight="1" x14ac:dyDescent="0.3">
      <c r="A18" s="5" t="s">
        <v>25</v>
      </c>
      <c r="B18" s="20">
        <v>1</v>
      </c>
      <c r="C18" s="20">
        <v>1</v>
      </c>
      <c r="G18">
        <v>16</v>
      </c>
      <c r="H18" s="3">
        <v>0.14326414807401427</v>
      </c>
      <c r="I18" s="3">
        <v>0.11661275407579588</v>
      </c>
      <c r="J18">
        <f t="shared" si="0"/>
        <v>1</v>
      </c>
    </row>
    <row r="19" spans="1:10" ht="19.95" customHeight="1" x14ac:dyDescent="0.3">
      <c r="A19" s="5" t="s">
        <v>26</v>
      </c>
      <c r="B19" s="20">
        <v>1</v>
      </c>
      <c r="C19" s="20">
        <v>1</v>
      </c>
      <c r="G19">
        <v>17</v>
      </c>
      <c r="H19" s="3">
        <v>0.22094445820372077</v>
      </c>
      <c r="I19" s="3">
        <v>0.3027536582998136</v>
      </c>
      <c r="J19">
        <f t="shared" si="0"/>
        <v>0</v>
      </c>
    </row>
    <row r="20" spans="1:10" ht="19.95" customHeight="1" x14ac:dyDescent="0.3">
      <c r="A20" s="5" t="s">
        <v>27</v>
      </c>
      <c r="B20" s="20">
        <v>1</v>
      </c>
      <c r="C20" s="20">
        <v>0</v>
      </c>
      <c r="G20">
        <v>18</v>
      </c>
      <c r="H20" s="3">
        <v>-2.031384955000947E-3</v>
      </c>
      <c r="I20" s="3">
        <v>6.0584948466868342E-2</v>
      </c>
      <c r="J20">
        <f t="shared" si="0"/>
        <v>0</v>
      </c>
    </row>
    <row r="21" spans="1:10" ht="19.95" customHeight="1" x14ac:dyDescent="0.3">
      <c r="A21" s="5" t="s">
        <v>28</v>
      </c>
      <c r="B21" s="20">
        <v>0</v>
      </c>
      <c r="C21" s="20">
        <v>1</v>
      </c>
      <c r="G21">
        <v>19</v>
      </c>
      <c r="H21" s="3">
        <v>-0.19057090682461927</v>
      </c>
      <c r="I21" s="3">
        <v>-0.20028662339009082</v>
      </c>
      <c r="J21">
        <f t="shared" si="0"/>
        <v>1</v>
      </c>
    </row>
    <row r="22" spans="1:10" ht="19.95" customHeight="1" x14ac:dyDescent="0.3">
      <c r="G22">
        <v>20</v>
      </c>
      <c r="H22" s="3">
        <v>-3.9544490500245708E-2</v>
      </c>
      <c r="I22" s="3">
        <v>2.7427593943485325E-2</v>
      </c>
      <c r="J22">
        <f t="shared" si="0"/>
        <v>0</v>
      </c>
    </row>
    <row r="23" spans="1:10" ht="19.95" customHeight="1" x14ac:dyDescent="0.3">
      <c r="A23" s="2" t="s">
        <v>65</v>
      </c>
      <c r="B23" s="4">
        <f ca="1">SUMPRODUCT(B14:B21,B3:B10)</f>
        <v>0.12218865528844097</v>
      </c>
      <c r="C23" s="4">
        <f ca="1">SUMPRODUCT(C14:C21,B3:B10)</f>
        <v>-2.5510170528997411E-3</v>
      </c>
      <c r="G23">
        <v>21</v>
      </c>
      <c r="H23" s="3">
        <v>4.457044304328199E-2</v>
      </c>
      <c r="I23" s="3">
        <v>5.4689632747591393E-2</v>
      </c>
      <c r="J23">
        <f t="shared" si="0"/>
        <v>0</v>
      </c>
    </row>
    <row r="24" spans="1:10" ht="19.95" customHeight="1" x14ac:dyDescent="0.3">
      <c r="G24">
        <v>22</v>
      </c>
      <c r="H24" s="3">
        <v>0.25830941024809878</v>
      </c>
      <c r="I24" s="3">
        <v>0.25446392068844431</v>
      </c>
      <c r="J24">
        <f t="shared" si="0"/>
        <v>1</v>
      </c>
    </row>
    <row r="25" spans="1:10" ht="19.95" customHeight="1" x14ac:dyDescent="0.3">
      <c r="G25">
        <v>23</v>
      </c>
      <c r="H25" s="3">
        <v>-5.6037129268152144E-2</v>
      </c>
      <c r="I25" s="3">
        <v>-4.1111744774619185E-3</v>
      </c>
      <c r="J25">
        <f t="shared" si="0"/>
        <v>0</v>
      </c>
    </row>
    <row r="26" spans="1:10" ht="19.95" customHeight="1" x14ac:dyDescent="0.3">
      <c r="G26">
        <v>24</v>
      </c>
      <c r="H26" s="3">
        <v>0.12171218029313004</v>
      </c>
      <c r="I26" s="3">
        <v>8.2295503817236687E-2</v>
      </c>
      <c r="J26">
        <f t="shared" si="0"/>
        <v>1</v>
      </c>
    </row>
    <row r="27" spans="1:10" ht="19.95" customHeight="1" x14ac:dyDescent="0.3">
      <c r="G27">
        <v>25</v>
      </c>
      <c r="H27" s="3">
        <v>0.12313510074309379</v>
      </c>
      <c r="I27" s="3">
        <v>6.9281484828905046E-2</v>
      </c>
      <c r="J27">
        <f t="shared" si="0"/>
        <v>1</v>
      </c>
    </row>
    <row r="28" spans="1:10" ht="19.95" customHeight="1" x14ac:dyDescent="0.3">
      <c r="G28">
        <v>26</v>
      </c>
      <c r="H28" s="3">
        <v>-0.11085312552368037</v>
      </c>
      <c r="I28" s="3">
        <v>-7.6483339275091863E-2</v>
      </c>
      <c r="J28">
        <f t="shared" si="0"/>
        <v>0</v>
      </c>
    </row>
    <row r="29" spans="1:10" ht="19.95" customHeight="1" x14ac:dyDescent="0.3">
      <c r="G29">
        <v>27</v>
      </c>
      <c r="H29" s="3">
        <v>0.15461363004241072</v>
      </c>
      <c r="I29" s="3">
        <v>9.1019760619641912E-2</v>
      </c>
      <c r="J29">
        <f t="shared" si="0"/>
        <v>1</v>
      </c>
    </row>
    <row r="30" spans="1:10" ht="19.95" customHeight="1" x14ac:dyDescent="0.3">
      <c r="G30">
        <v>28</v>
      </c>
      <c r="H30" s="3">
        <v>7.2198570443907942E-2</v>
      </c>
      <c r="I30" s="3">
        <v>-5.2573184465457286E-2</v>
      </c>
      <c r="J30">
        <f t="shared" si="0"/>
        <v>1</v>
      </c>
    </row>
    <row r="31" spans="1:10" ht="19.95" customHeight="1" x14ac:dyDescent="0.3">
      <c r="G31">
        <v>29</v>
      </c>
      <c r="H31" s="3">
        <v>-9.9857470934717293E-2</v>
      </c>
      <c r="I31" s="3">
        <v>-0.19117251570522947</v>
      </c>
      <c r="J31">
        <f t="shared" si="0"/>
        <v>1</v>
      </c>
    </row>
    <row r="32" spans="1:10" ht="19.95" customHeight="1" x14ac:dyDescent="0.3">
      <c r="G32">
        <v>30</v>
      </c>
      <c r="H32" s="3">
        <v>0.2248518469204934</v>
      </c>
      <c r="I32" s="3">
        <v>0.17098525460183406</v>
      </c>
      <c r="J32">
        <f t="shared" si="0"/>
        <v>1</v>
      </c>
    </row>
    <row r="33" spans="7:10" ht="19.95" customHeight="1" x14ac:dyDescent="0.3">
      <c r="G33">
        <v>31</v>
      </c>
      <c r="H33" s="3">
        <v>3.2950301823133625E-2</v>
      </c>
      <c r="I33" s="3">
        <v>0.10918240755821587</v>
      </c>
      <c r="J33">
        <f t="shared" si="0"/>
        <v>0</v>
      </c>
    </row>
    <row r="34" spans="7:10" ht="19.95" customHeight="1" x14ac:dyDescent="0.3">
      <c r="G34">
        <v>32</v>
      </c>
      <c r="H34" s="3">
        <v>7.0322660968543421E-2</v>
      </c>
      <c r="I34" s="3">
        <v>0.17093917187505031</v>
      </c>
      <c r="J34">
        <f t="shared" si="0"/>
        <v>0</v>
      </c>
    </row>
    <row r="35" spans="7:10" ht="19.95" customHeight="1" x14ac:dyDescent="0.3">
      <c r="G35">
        <v>33</v>
      </c>
      <c r="H35" s="3">
        <v>8.694530964788133E-2</v>
      </c>
      <c r="I35" s="3">
        <v>6.5479614671506148E-2</v>
      </c>
      <c r="J35">
        <f t="shared" si="0"/>
        <v>1</v>
      </c>
    </row>
    <row r="36" spans="7:10" ht="19.95" customHeight="1" x14ac:dyDescent="0.3">
      <c r="G36">
        <v>34</v>
      </c>
      <c r="H36" s="3">
        <v>-5.6636301385359217E-3</v>
      </c>
      <c r="I36" s="3">
        <v>1.3964527695422476E-2</v>
      </c>
      <c r="J36">
        <f t="shared" si="0"/>
        <v>0</v>
      </c>
    </row>
    <row r="37" spans="7:10" ht="19.95" customHeight="1" x14ac:dyDescent="0.3">
      <c r="G37">
        <v>35</v>
      </c>
      <c r="H37" s="3">
        <v>8.9569581997211323E-2</v>
      </c>
      <c r="I37" s="3">
        <v>1.041225205923387E-2</v>
      </c>
      <c r="J37">
        <f t="shared" si="0"/>
        <v>1</v>
      </c>
    </row>
    <row r="38" spans="7:10" ht="19.95" customHeight="1" x14ac:dyDescent="0.3">
      <c r="G38">
        <v>36</v>
      </c>
      <c r="H38" s="3">
        <v>6.0912009420256666E-2</v>
      </c>
      <c r="I38" s="3">
        <v>5.1987238475364433E-2</v>
      </c>
      <c r="J38">
        <f t="shared" si="0"/>
        <v>1</v>
      </c>
    </row>
    <row r="39" spans="7:10" ht="19.95" customHeight="1" x14ac:dyDescent="0.3">
      <c r="G39">
        <v>37</v>
      </c>
      <c r="H39" s="3">
        <v>0.12514592650073902</v>
      </c>
      <c r="I39" s="3">
        <v>0.15948349100895795</v>
      </c>
      <c r="J39">
        <f t="shared" si="0"/>
        <v>0</v>
      </c>
    </row>
    <row r="40" spans="7:10" ht="19.95" customHeight="1" x14ac:dyDescent="0.3">
      <c r="G40">
        <v>38</v>
      </c>
      <c r="H40" s="3">
        <v>0.10829312923671623</v>
      </c>
      <c r="I40" s="3">
        <v>0.14817963109312718</v>
      </c>
      <c r="J40">
        <f t="shared" si="0"/>
        <v>0</v>
      </c>
    </row>
    <row r="41" spans="7:10" ht="19.95" customHeight="1" x14ac:dyDescent="0.3">
      <c r="G41">
        <v>39</v>
      </c>
      <c r="H41" s="3">
        <v>8.361066481585501E-2</v>
      </c>
      <c r="I41" s="3">
        <v>0.13610270803405727</v>
      </c>
      <c r="J41">
        <f t="shared" si="0"/>
        <v>0</v>
      </c>
    </row>
    <row r="42" spans="7:10" ht="19.95" customHeight="1" x14ac:dyDescent="0.3">
      <c r="G42">
        <v>40</v>
      </c>
      <c r="H42" s="3">
        <v>0.10320981426743275</v>
      </c>
      <c r="I42" s="3">
        <v>9.4603812446138868E-3</v>
      </c>
      <c r="J42">
        <f t="shared" si="0"/>
        <v>1</v>
      </c>
    </row>
    <row r="43" spans="7:10" ht="19.95" customHeight="1" x14ac:dyDescent="0.3">
      <c r="G43">
        <v>41</v>
      </c>
      <c r="H43" s="3">
        <v>6.3387948389397215E-5</v>
      </c>
      <c r="I43" s="3">
        <v>-4.1307966963112459E-2</v>
      </c>
      <c r="J43">
        <f t="shared" si="0"/>
        <v>1</v>
      </c>
    </row>
    <row r="44" spans="7:10" ht="19.95" customHeight="1" x14ac:dyDescent="0.3">
      <c r="G44">
        <v>42</v>
      </c>
      <c r="H44" s="3">
        <v>9.5990659491351951E-2</v>
      </c>
      <c r="I44" s="3">
        <v>6.7699767877031067E-2</v>
      </c>
      <c r="J44">
        <f t="shared" si="0"/>
        <v>1</v>
      </c>
    </row>
    <row r="45" spans="7:10" ht="19.95" customHeight="1" x14ac:dyDescent="0.3">
      <c r="G45">
        <v>43</v>
      </c>
      <c r="H45" s="3">
        <v>6.7173867734240972E-2</v>
      </c>
      <c r="I45" s="3">
        <v>9.4403375789752733E-2</v>
      </c>
      <c r="J45">
        <f t="shared" si="0"/>
        <v>0</v>
      </c>
    </row>
    <row r="46" spans="7:10" ht="19.95" customHeight="1" x14ac:dyDescent="0.3">
      <c r="G46">
        <v>44</v>
      </c>
      <c r="H46" s="3">
        <v>4.5180751201060687E-2</v>
      </c>
      <c r="I46" s="3">
        <v>0.10431103213783775</v>
      </c>
      <c r="J46">
        <f t="shared" si="0"/>
        <v>0</v>
      </c>
    </row>
    <row r="47" spans="7:10" ht="19.95" customHeight="1" x14ac:dyDescent="0.3">
      <c r="G47">
        <v>45</v>
      </c>
      <c r="H47" s="3">
        <v>-2.0316240746665864E-2</v>
      </c>
      <c r="I47" s="3">
        <v>-0.12278429295886056</v>
      </c>
      <c r="J47">
        <f t="shared" si="0"/>
        <v>1</v>
      </c>
    </row>
    <row r="48" spans="7:10" ht="19.95" customHeight="1" x14ac:dyDescent="0.3">
      <c r="G48">
        <v>46</v>
      </c>
      <c r="H48" s="3">
        <v>8.0661131525691085E-2</v>
      </c>
      <c r="I48" s="3">
        <v>-2.3072530731965888E-2</v>
      </c>
      <c r="J48">
        <f t="shared" si="0"/>
        <v>1</v>
      </c>
    </row>
    <row r="49" spans="7:10" ht="19.95" customHeight="1" x14ac:dyDescent="0.3">
      <c r="G49">
        <v>47</v>
      </c>
      <c r="H49" s="3">
        <v>0.12150896828277712</v>
      </c>
      <c r="I49" s="3">
        <v>7.1793647775600031E-2</v>
      </c>
      <c r="J49">
        <f t="shared" si="0"/>
        <v>1</v>
      </c>
    </row>
    <row r="50" spans="7:10" ht="19.95" customHeight="1" x14ac:dyDescent="0.3">
      <c r="G50">
        <v>48</v>
      </c>
      <c r="H50" s="3">
        <v>-3.5901753854162048E-2</v>
      </c>
      <c r="I50" s="3">
        <v>3.5954594930489629E-2</v>
      </c>
      <c r="J50">
        <f t="shared" si="0"/>
        <v>0</v>
      </c>
    </row>
    <row r="51" spans="7:10" ht="19.95" customHeight="1" x14ac:dyDescent="0.3">
      <c r="G51">
        <v>49</v>
      </c>
      <c r="H51" s="3">
        <v>-7.4197549963672046E-2</v>
      </c>
      <c r="I51" s="3">
        <v>1.9906591758542583E-3</v>
      </c>
      <c r="J51">
        <f t="shared" si="0"/>
        <v>0</v>
      </c>
    </row>
    <row r="52" spans="7:10" ht="19.95" customHeight="1" x14ac:dyDescent="0.3">
      <c r="G52">
        <v>50</v>
      </c>
      <c r="H52" s="3">
        <v>3.6201923087518482E-3</v>
      </c>
      <c r="I52" s="3">
        <v>-7.0084326614559059E-2</v>
      </c>
      <c r="J52">
        <f t="shared" si="0"/>
        <v>1</v>
      </c>
    </row>
    <row r="53" spans="7:10" ht="19.95" customHeight="1" x14ac:dyDescent="0.3">
      <c r="G53">
        <v>51</v>
      </c>
      <c r="H53" s="3">
        <v>-0.12176227054506777</v>
      </c>
      <c r="I53" s="3">
        <v>-8.4642671404472111E-2</v>
      </c>
      <c r="J53">
        <f t="shared" si="0"/>
        <v>0</v>
      </c>
    </row>
    <row r="54" spans="7:10" ht="19.95" customHeight="1" x14ac:dyDescent="0.3">
      <c r="G54">
        <v>52</v>
      </c>
      <c r="H54" s="3">
        <v>-0.264856448158302</v>
      </c>
      <c r="I54" s="3">
        <v>-0.29711295660568876</v>
      </c>
      <c r="J54">
        <f t="shared" si="0"/>
        <v>1</v>
      </c>
    </row>
    <row r="55" spans="7:10" ht="19.95" customHeight="1" x14ac:dyDescent="0.3">
      <c r="G55">
        <v>53</v>
      </c>
      <c r="H55" s="3">
        <v>0.24123144077624659</v>
      </c>
      <c r="I55" s="3">
        <v>0.3037812055634761</v>
      </c>
      <c r="J55">
        <f t="shared" si="0"/>
        <v>0</v>
      </c>
    </row>
    <row r="56" spans="7:10" ht="19.95" customHeight="1" x14ac:dyDescent="0.3">
      <c r="G56">
        <v>54</v>
      </c>
      <c r="H56" s="3">
        <v>9.7939198032481745E-2</v>
      </c>
      <c r="I56" s="3">
        <v>-2.5405805594427077E-2</v>
      </c>
      <c r="J56">
        <f t="shared" si="0"/>
        <v>1</v>
      </c>
    </row>
    <row r="57" spans="7:10" ht="19.95" customHeight="1" x14ac:dyDescent="0.3">
      <c r="G57">
        <v>55</v>
      </c>
      <c r="H57" s="3">
        <v>0.11714238188082332</v>
      </c>
      <c r="I57" s="3">
        <v>5.0152122802424259E-2</v>
      </c>
      <c r="J57">
        <f t="shared" si="0"/>
        <v>1</v>
      </c>
    </row>
    <row r="58" spans="7:10" ht="19.95" customHeight="1" x14ac:dyDescent="0.3">
      <c r="G58">
        <v>56</v>
      </c>
      <c r="H58" s="3">
        <v>-8.0631314636420787E-2</v>
      </c>
      <c r="I58" s="3">
        <v>-1.1622151881120611E-2</v>
      </c>
      <c r="J58">
        <f t="shared" si="0"/>
        <v>0</v>
      </c>
    </row>
    <row r="59" spans="7:10" ht="19.95" customHeight="1" x14ac:dyDescent="0.3">
      <c r="G59">
        <v>57</v>
      </c>
      <c r="H59" s="3">
        <v>0.2609989552169345</v>
      </c>
      <c r="I59" s="3">
        <v>0.1965830532219448</v>
      </c>
      <c r="J59">
        <f t="shared" si="0"/>
        <v>1</v>
      </c>
    </row>
    <row r="60" spans="7:10" ht="19.95" customHeight="1" x14ac:dyDescent="0.3">
      <c r="G60">
        <v>58</v>
      </c>
      <c r="H60" s="3">
        <v>-1.6327113730803033E-2</v>
      </c>
      <c r="I60" s="3">
        <v>-8.1005499503482778E-3</v>
      </c>
      <c r="J60">
        <f t="shared" si="0"/>
        <v>0</v>
      </c>
    </row>
    <row r="61" spans="7:10" ht="19.95" customHeight="1" x14ac:dyDescent="0.3">
      <c r="G61">
        <v>59</v>
      </c>
      <c r="H61" s="3">
        <v>-0.12989972383625195</v>
      </c>
      <c r="I61" s="3">
        <v>-9.4030595959492758E-2</v>
      </c>
      <c r="J61">
        <f t="shared" si="0"/>
        <v>0</v>
      </c>
    </row>
    <row r="62" spans="7:10" ht="19.95" customHeight="1" x14ac:dyDescent="0.3">
      <c r="G62">
        <v>60</v>
      </c>
      <c r="H62" s="3">
        <v>-8.4201070888729468E-3</v>
      </c>
      <c r="I62" s="3">
        <v>-5.3147167659413033E-2</v>
      </c>
      <c r="J62">
        <f t="shared" si="0"/>
        <v>1</v>
      </c>
    </row>
    <row r="63" spans="7:10" ht="19.95" customHeight="1" x14ac:dyDescent="0.3">
      <c r="G63">
        <v>61</v>
      </c>
      <c r="H63" s="3">
        <v>8.6676867749739137E-2</v>
      </c>
      <c r="I63" s="3">
        <v>4.9855203616002965E-2</v>
      </c>
      <c r="J63">
        <f t="shared" si="0"/>
        <v>1</v>
      </c>
    </row>
    <row r="64" spans="7:10" ht="19.95" customHeight="1" x14ac:dyDescent="0.3">
      <c r="G64">
        <v>62</v>
      </c>
      <c r="H64" s="3">
        <v>0.12704432278435765</v>
      </c>
      <c r="I64" s="3">
        <v>-1.0377596858354937E-2</v>
      </c>
      <c r="J64">
        <f t="shared" si="0"/>
        <v>1</v>
      </c>
    </row>
    <row r="65" spans="7:10" ht="19.95" customHeight="1" x14ac:dyDescent="0.3">
      <c r="G65">
        <v>63</v>
      </c>
      <c r="H65" s="3">
        <v>8.3351878662990056E-2</v>
      </c>
      <c r="I65" s="3">
        <v>0.11075765111446205</v>
      </c>
      <c r="J65">
        <f t="shared" si="0"/>
        <v>0</v>
      </c>
    </row>
    <row r="66" spans="7:10" ht="19.95" customHeight="1" x14ac:dyDescent="0.3">
      <c r="G66">
        <v>64</v>
      </c>
      <c r="H66" s="3">
        <v>0.1280687736462251</v>
      </c>
      <c r="I66" s="3">
        <v>0.20178619960920452</v>
      </c>
      <c r="J66">
        <f t="shared" si="0"/>
        <v>0</v>
      </c>
    </row>
    <row r="67" spans="7:10" ht="19.95" customHeight="1" x14ac:dyDescent="0.3">
      <c r="G67">
        <v>65</v>
      </c>
      <c r="H67" s="3">
        <v>2.4484323697722472E-2</v>
      </c>
      <c r="I67" s="3">
        <v>4.0625034407910335E-2</v>
      </c>
      <c r="J67">
        <f t="shared" si="0"/>
        <v>0</v>
      </c>
    </row>
    <row r="68" spans="7:10" ht="19.95" customHeight="1" x14ac:dyDescent="0.3">
      <c r="G68">
        <v>66</v>
      </c>
      <c r="H68" s="3">
        <v>0.12903091394419944</v>
      </c>
      <c r="I68" s="3">
        <v>0.12291004946918786</v>
      </c>
      <c r="J68">
        <f t="shared" ref="J68:J131" si="2">IF(H68&gt;I68,1,0)</f>
        <v>1</v>
      </c>
    </row>
    <row r="69" spans="7:10" ht="19.95" customHeight="1" x14ac:dyDescent="0.3">
      <c r="G69">
        <v>67</v>
      </c>
      <c r="H69" s="3">
        <v>-4.8905571786113274E-2</v>
      </c>
      <c r="I69" s="3">
        <v>-3.7520790977590812E-2</v>
      </c>
      <c r="J69">
        <f t="shared" si="2"/>
        <v>0</v>
      </c>
    </row>
    <row r="70" spans="7:10" ht="19.95" customHeight="1" x14ac:dyDescent="0.3">
      <c r="G70">
        <v>68</v>
      </c>
      <c r="H70" s="3">
        <v>0.26551104865145325</v>
      </c>
      <c r="I70" s="3">
        <v>0.18294139353101907</v>
      </c>
      <c r="J70">
        <f t="shared" si="2"/>
        <v>1</v>
      </c>
    </row>
    <row r="71" spans="7:10" ht="19.95" customHeight="1" x14ac:dyDescent="0.3">
      <c r="G71">
        <v>69</v>
      </c>
      <c r="H71" s="3">
        <v>7.3840902516137258E-2</v>
      </c>
      <c r="I71" s="3">
        <v>7.2996194827638444E-2</v>
      </c>
      <c r="J71">
        <f t="shared" si="2"/>
        <v>1</v>
      </c>
    </row>
    <row r="72" spans="7:10" ht="19.95" customHeight="1" x14ac:dyDescent="0.3">
      <c r="G72">
        <v>70</v>
      </c>
      <c r="H72" s="3">
        <v>4.4810995264461695E-2</v>
      </c>
      <c r="I72" s="3">
        <v>6.4751679289919623E-2</v>
      </c>
      <c r="J72">
        <f t="shared" si="2"/>
        <v>0</v>
      </c>
    </row>
    <row r="73" spans="7:10" ht="19.95" customHeight="1" x14ac:dyDescent="0.3">
      <c r="G73">
        <v>71</v>
      </c>
      <c r="H73" s="3">
        <v>7.5213037312589562E-2</v>
      </c>
      <c r="I73" s="3">
        <v>0.15069741468525044</v>
      </c>
      <c r="J73">
        <f t="shared" si="2"/>
        <v>0</v>
      </c>
    </row>
    <row r="74" spans="7:10" ht="19.95" customHeight="1" x14ac:dyDescent="0.3">
      <c r="G74">
        <v>72</v>
      </c>
      <c r="H74" s="3">
        <v>5.4826068030402422E-2</v>
      </c>
      <c r="I74" s="3">
        <v>-1.115079969575737E-2</v>
      </c>
      <c r="J74">
        <f t="shared" si="2"/>
        <v>1</v>
      </c>
    </row>
    <row r="75" spans="7:10" ht="19.95" customHeight="1" x14ac:dyDescent="0.3">
      <c r="G75">
        <v>73</v>
      </c>
      <c r="H75" s="3">
        <v>0.17969114799357472</v>
      </c>
      <c r="I75" s="3">
        <v>0.14662712235274478</v>
      </c>
      <c r="J75">
        <f t="shared" si="2"/>
        <v>1</v>
      </c>
    </row>
    <row r="76" spans="7:10" ht="19.95" customHeight="1" x14ac:dyDescent="0.3">
      <c r="G76">
        <v>74</v>
      </c>
      <c r="H76" s="3">
        <v>3.707982422289971E-2</v>
      </c>
      <c r="I76" s="3">
        <v>-3.3052359229219855E-3</v>
      </c>
      <c r="J76">
        <f t="shared" si="2"/>
        <v>1</v>
      </c>
    </row>
    <row r="77" spans="7:10" ht="19.95" customHeight="1" x14ac:dyDescent="0.3">
      <c r="G77">
        <v>75</v>
      </c>
      <c r="H77" s="3">
        <v>0.16105058083549639</v>
      </c>
      <c r="I77" s="3">
        <v>3.8302948308222548E-2</v>
      </c>
      <c r="J77">
        <f t="shared" si="2"/>
        <v>1</v>
      </c>
    </row>
    <row r="78" spans="7:10" ht="19.95" customHeight="1" x14ac:dyDescent="0.3">
      <c r="G78">
        <v>76</v>
      </c>
      <c r="H78" s="3">
        <v>-5.6999749593335345E-3</v>
      </c>
      <c r="I78" s="3">
        <v>6.4884568551085681E-2</v>
      </c>
      <c r="J78">
        <f t="shared" si="2"/>
        <v>0</v>
      </c>
    </row>
    <row r="79" spans="7:10" ht="19.95" customHeight="1" x14ac:dyDescent="0.3">
      <c r="G79">
        <v>77</v>
      </c>
      <c r="H79" s="3">
        <v>-6.0074031141076879E-2</v>
      </c>
      <c r="I79" s="3">
        <v>2.5649143784404724E-2</v>
      </c>
      <c r="J79">
        <f t="shared" si="2"/>
        <v>0</v>
      </c>
    </row>
    <row r="80" spans="7:10" ht="19.95" customHeight="1" x14ac:dyDescent="0.3">
      <c r="G80">
        <v>78</v>
      </c>
      <c r="H80" s="3">
        <v>-0.12828706948970403</v>
      </c>
      <c r="I80" s="3">
        <v>-6.5374708504984433E-2</v>
      </c>
      <c r="J80">
        <f t="shared" si="2"/>
        <v>0</v>
      </c>
    </row>
    <row r="81" spans="7:10" ht="19.95" customHeight="1" x14ac:dyDescent="0.3">
      <c r="G81">
        <v>79</v>
      </c>
      <c r="H81" s="3">
        <v>-5.7632854977461956E-2</v>
      </c>
      <c r="I81" s="3">
        <v>-6.3783955813812021E-3</v>
      </c>
      <c r="J81">
        <f t="shared" si="2"/>
        <v>0</v>
      </c>
    </row>
    <row r="82" spans="7:10" ht="19.95" customHeight="1" x14ac:dyDescent="0.3">
      <c r="G82">
        <v>80</v>
      </c>
      <c r="H82" s="3">
        <v>7.8967150248536552E-2</v>
      </c>
      <c r="I82" s="3">
        <v>-3.6804845770757925E-2</v>
      </c>
      <c r="J82">
        <f t="shared" si="2"/>
        <v>1</v>
      </c>
    </row>
    <row r="83" spans="7:10" ht="19.95" customHeight="1" x14ac:dyDescent="0.3">
      <c r="G83">
        <v>81</v>
      </c>
      <c r="H83" s="3">
        <v>-1.9756523675781394E-2</v>
      </c>
      <c r="I83" s="3">
        <v>2.6641699653199916E-2</v>
      </c>
      <c r="J83">
        <f t="shared" si="2"/>
        <v>0</v>
      </c>
    </row>
    <row r="84" spans="7:10" ht="19.95" customHeight="1" x14ac:dyDescent="0.3">
      <c r="G84">
        <v>82</v>
      </c>
      <c r="H84" s="3">
        <v>6.3175938669857573E-2</v>
      </c>
      <c r="I84" s="3">
        <v>-2.3530100152212879E-2</v>
      </c>
      <c r="J84">
        <f t="shared" si="2"/>
        <v>1</v>
      </c>
    </row>
    <row r="85" spans="7:10" ht="19.95" customHeight="1" x14ac:dyDescent="0.3">
      <c r="G85">
        <v>83</v>
      </c>
      <c r="H85" s="3">
        <v>-1.0765183728324315E-2</v>
      </c>
      <c r="I85" s="3">
        <v>-1.5347731248805003E-2</v>
      </c>
      <c r="J85">
        <f t="shared" si="2"/>
        <v>1</v>
      </c>
    </row>
    <row r="86" spans="7:10" ht="19.95" customHeight="1" x14ac:dyDescent="0.3">
      <c r="G86">
        <v>84</v>
      </c>
      <c r="H86" s="3">
        <v>5.4942531100134681E-2</v>
      </c>
      <c r="I86" s="3">
        <v>4.7748200427277433E-2</v>
      </c>
      <c r="J86">
        <f t="shared" si="2"/>
        <v>1</v>
      </c>
    </row>
    <row r="87" spans="7:10" ht="19.95" customHeight="1" x14ac:dyDescent="0.3">
      <c r="G87">
        <v>85</v>
      </c>
      <c r="H87" s="3">
        <v>-2.0233541726002741E-2</v>
      </c>
      <c r="I87" s="3">
        <v>-9.1248784495815846E-2</v>
      </c>
      <c r="J87">
        <f t="shared" si="2"/>
        <v>1</v>
      </c>
    </row>
    <row r="88" spans="7:10" ht="19.95" customHeight="1" x14ac:dyDescent="0.3">
      <c r="G88">
        <v>86</v>
      </c>
      <c r="H88" s="3">
        <v>-2.7377869592612909E-3</v>
      </c>
      <c r="I88" s="3">
        <v>4.5897065670278597E-2</v>
      </c>
      <c r="J88">
        <f t="shared" si="2"/>
        <v>0</v>
      </c>
    </row>
    <row r="89" spans="7:10" ht="19.95" customHeight="1" x14ac:dyDescent="0.3">
      <c r="G89">
        <v>87</v>
      </c>
      <c r="H89" s="3">
        <v>-0.11892333125299413</v>
      </c>
      <c r="I89" s="3">
        <v>-2.0594445498826663E-2</v>
      </c>
      <c r="J89">
        <f t="shared" si="2"/>
        <v>0</v>
      </c>
    </row>
    <row r="90" spans="7:10" ht="19.95" customHeight="1" x14ac:dyDescent="0.3">
      <c r="G90">
        <v>88</v>
      </c>
      <c r="H90" s="3">
        <v>-9.4490401578467303E-2</v>
      </c>
      <c r="I90" s="3">
        <v>-7.1073843905681333E-2</v>
      </c>
      <c r="J90">
        <f t="shared" si="2"/>
        <v>0</v>
      </c>
    </row>
    <row r="91" spans="7:10" ht="19.95" customHeight="1" x14ac:dyDescent="0.3">
      <c r="G91">
        <v>89</v>
      </c>
      <c r="H91" s="3">
        <v>3.3432745440202784E-2</v>
      </c>
      <c r="I91" s="3">
        <v>0.16571003593829592</v>
      </c>
      <c r="J91">
        <f t="shared" si="2"/>
        <v>0</v>
      </c>
    </row>
    <row r="92" spans="7:10" ht="19.95" customHeight="1" x14ac:dyDescent="0.3">
      <c r="G92">
        <v>90</v>
      </c>
      <c r="H92" s="3">
        <v>0.12980957611781829</v>
      </c>
      <c r="I92" s="3">
        <v>0.15983450352239884</v>
      </c>
      <c r="J92">
        <f t="shared" si="2"/>
        <v>0</v>
      </c>
    </row>
    <row r="93" spans="7:10" ht="19.95" customHeight="1" x14ac:dyDescent="0.3">
      <c r="G93">
        <v>91</v>
      </c>
      <c r="H93" s="3">
        <v>0.11600002176992247</v>
      </c>
      <c r="I93" s="3">
        <v>7.2029736219813137E-2</v>
      </c>
      <c r="J93">
        <f t="shared" si="2"/>
        <v>1</v>
      </c>
    </row>
    <row r="94" spans="7:10" ht="19.95" customHeight="1" x14ac:dyDescent="0.3">
      <c r="G94">
        <v>92</v>
      </c>
      <c r="H94" s="3">
        <v>-8.4505267145664163E-3</v>
      </c>
      <c r="I94" s="3">
        <v>-5.558926742757108E-2</v>
      </c>
      <c r="J94">
        <f t="shared" si="2"/>
        <v>1</v>
      </c>
    </row>
    <row r="95" spans="7:10" ht="19.95" customHeight="1" x14ac:dyDescent="0.3">
      <c r="G95">
        <v>93</v>
      </c>
      <c r="H95" s="3">
        <v>-3.2476512052854907E-2</v>
      </c>
      <c r="I95" s="3">
        <v>-5.8974875476757532E-2</v>
      </c>
      <c r="J95">
        <f t="shared" si="2"/>
        <v>1</v>
      </c>
    </row>
    <row r="96" spans="7:10" ht="19.95" customHeight="1" x14ac:dyDescent="0.3">
      <c r="G96">
        <v>94</v>
      </c>
      <c r="H96" s="3">
        <v>-1.7579552641322327E-2</v>
      </c>
      <c r="I96" s="3">
        <v>-4.8438934311786162E-2</v>
      </c>
      <c r="J96">
        <f t="shared" si="2"/>
        <v>1</v>
      </c>
    </row>
    <row r="97" spans="7:10" ht="19.95" customHeight="1" x14ac:dyDescent="0.3">
      <c r="G97">
        <v>95</v>
      </c>
      <c r="H97" s="3">
        <v>4.8793092417368851E-2</v>
      </c>
      <c r="I97" s="3">
        <v>7.3624147638572793E-2</v>
      </c>
      <c r="J97">
        <f t="shared" si="2"/>
        <v>0</v>
      </c>
    </row>
    <row r="98" spans="7:10" ht="19.95" customHeight="1" x14ac:dyDescent="0.3">
      <c r="G98">
        <v>96</v>
      </c>
      <c r="H98" s="3">
        <v>2.9293186496553245E-2</v>
      </c>
      <c r="I98" s="3">
        <v>-4.8819694082008532E-3</v>
      </c>
      <c r="J98">
        <f t="shared" si="2"/>
        <v>1</v>
      </c>
    </row>
    <row r="99" spans="7:10" ht="19.95" customHeight="1" x14ac:dyDescent="0.3">
      <c r="G99">
        <v>97</v>
      </c>
      <c r="H99" s="3">
        <v>9.3895358937945525E-2</v>
      </c>
      <c r="I99" s="3">
        <v>2.0360781742223166E-2</v>
      </c>
      <c r="J99">
        <f t="shared" si="2"/>
        <v>1</v>
      </c>
    </row>
    <row r="100" spans="7:10" ht="19.95" customHeight="1" x14ac:dyDescent="0.3">
      <c r="G100">
        <v>98</v>
      </c>
      <c r="H100" s="3">
        <v>1.1226516463449021E-2</v>
      </c>
      <c r="I100" s="3">
        <v>-4.2918588457601346E-3</v>
      </c>
      <c r="J100">
        <f t="shared" si="2"/>
        <v>1</v>
      </c>
    </row>
    <row r="101" spans="7:10" ht="19.95" customHeight="1" x14ac:dyDescent="0.3">
      <c r="G101">
        <v>99</v>
      </c>
      <c r="H101" s="3">
        <v>-9.8676499452063221E-3</v>
      </c>
      <c r="I101" s="3">
        <v>-0.12371887306021301</v>
      </c>
      <c r="J101">
        <f t="shared" si="2"/>
        <v>1</v>
      </c>
    </row>
    <row r="102" spans="7:10" ht="19.95" customHeight="1" x14ac:dyDescent="0.3">
      <c r="G102">
        <v>100</v>
      </c>
      <c r="H102" s="3">
        <v>-0.16030822610789303</v>
      </c>
      <c r="I102" s="3">
        <v>-0.15953051714595751</v>
      </c>
      <c r="J102">
        <f t="shared" si="2"/>
        <v>0</v>
      </c>
    </row>
    <row r="103" spans="7:10" ht="19.95" customHeight="1" x14ac:dyDescent="0.3">
      <c r="G103">
        <v>101</v>
      </c>
      <c r="H103" s="3">
        <v>8.0193194377911198E-2</v>
      </c>
      <c r="I103" s="3">
        <v>-3.479051880535456E-2</v>
      </c>
      <c r="J103">
        <f t="shared" si="2"/>
        <v>1</v>
      </c>
    </row>
    <row r="104" spans="7:10" ht="19.95" customHeight="1" x14ac:dyDescent="0.3">
      <c r="G104">
        <v>102</v>
      </c>
      <c r="H104" s="3">
        <v>-2.6487168806564904E-2</v>
      </c>
      <c r="I104" s="3">
        <v>-0.14636139137328238</v>
      </c>
      <c r="J104">
        <f t="shared" si="2"/>
        <v>1</v>
      </c>
    </row>
    <row r="105" spans="7:10" ht="19.95" customHeight="1" x14ac:dyDescent="0.3">
      <c r="G105">
        <v>103</v>
      </c>
      <c r="H105" s="3">
        <v>5.2156551635594774E-2</v>
      </c>
      <c r="I105" s="3">
        <v>3.1333293580659012E-2</v>
      </c>
      <c r="J105">
        <f t="shared" si="2"/>
        <v>1</v>
      </c>
    </row>
    <row r="106" spans="7:10" ht="19.95" customHeight="1" x14ac:dyDescent="0.3">
      <c r="G106">
        <v>104</v>
      </c>
      <c r="H106" s="3">
        <v>-4.0377557391526667E-2</v>
      </c>
      <c r="I106" s="3">
        <v>-1.3432791690640171E-2</v>
      </c>
      <c r="J106">
        <f t="shared" si="2"/>
        <v>0</v>
      </c>
    </row>
    <row r="107" spans="7:10" ht="19.95" customHeight="1" x14ac:dyDescent="0.3">
      <c r="G107">
        <v>105</v>
      </c>
      <c r="H107" s="3">
        <v>0.10397362420516565</v>
      </c>
      <c r="I107" s="3">
        <v>0.17064007134853595</v>
      </c>
      <c r="J107">
        <f t="shared" si="2"/>
        <v>0</v>
      </c>
    </row>
    <row r="108" spans="7:10" ht="19.95" customHeight="1" x14ac:dyDescent="0.3">
      <c r="G108">
        <v>106</v>
      </c>
      <c r="H108" s="3">
        <v>4.6422851162551328E-2</v>
      </c>
      <c r="I108" s="3">
        <v>7.5583135727244968E-3</v>
      </c>
      <c r="J108">
        <f t="shared" si="2"/>
        <v>1</v>
      </c>
    </row>
    <row r="109" spans="7:10" ht="19.95" customHeight="1" x14ac:dyDescent="0.3">
      <c r="G109">
        <v>107</v>
      </c>
      <c r="H109" s="3">
        <v>8.4103829765591887E-2</v>
      </c>
      <c r="I109" s="3">
        <v>1.2143078679805307E-2</v>
      </c>
      <c r="J109">
        <f t="shared" si="2"/>
        <v>1</v>
      </c>
    </row>
    <row r="110" spans="7:10" ht="19.95" customHeight="1" x14ac:dyDescent="0.3">
      <c r="G110">
        <v>108</v>
      </c>
      <c r="H110" s="3">
        <v>6.5688659917506567E-2</v>
      </c>
      <c r="I110" s="3">
        <v>4.4987411587473276E-2</v>
      </c>
      <c r="J110">
        <f t="shared" si="2"/>
        <v>1</v>
      </c>
    </row>
    <row r="111" spans="7:10" ht="19.95" customHeight="1" x14ac:dyDescent="0.3">
      <c r="G111">
        <v>109</v>
      </c>
      <c r="H111" s="3">
        <v>0.20319614144879347</v>
      </c>
      <c r="I111" s="3">
        <v>0.16464446510016523</v>
      </c>
      <c r="J111">
        <f t="shared" si="2"/>
        <v>1</v>
      </c>
    </row>
    <row r="112" spans="7:10" ht="19.95" customHeight="1" x14ac:dyDescent="0.3">
      <c r="G112">
        <v>110</v>
      </c>
      <c r="H112" s="3">
        <v>0.1569824503802012</v>
      </c>
      <c r="I112" s="3">
        <v>0.19067792768313307</v>
      </c>
      <c r="J112">
        <f t="shared" si="2"/>
        <v>0</v>
      </c>
    </row>
    <row r="113" spans="7:10" ht="19.95" customHeight="1" x14ac:dyDescent="0.3">
      <c r="G113">
        <v>111</v>
      </c>
      <c r="H113" s="3">
        <v>7.0949681260672109E-2</v>
      </c>
      <c r="I113" s="3">
        <v>0.11008950445039729</v>
      </c>
      <c r="J113">
        <f t="shared" si="2"/>
        <v>0</v>
      </c>
    </row>
    <row r="114" spans="7:10" ht="19.95" customHeight="1" x14ac:dyDescent="0.3">
      <c r="G114">
        <v>112</v>
      </c>
      <c r="H114" s="3">
        <v>-7.3306743458873169E-2</v>
      </c>
      <c r="I114" s="3">
        <v>-4.2075627767237757E-2</v>
      </c>
      <c r="J114">
        <f t="shared" si="2"/>
        <v>0</v>
      </c>
    </row>
    <row r="115" spans="7:10" ht="19.95" customHeight="1" x14ac:dyDescent="0.3">
      <c r="G115">
        <v>113</v>
      </c>
      <c r="H115" s="3">
        <v>3.8187370492726032E-2</v>
      </c>
      <c r="I115" s="3">
        <v>0.11201570474167342</v>
      </c>
      <c r="J115">
        <f t="shared" si="2"/>
        <v>0</v>
      </c>
    </row>
    <row r="116" spans="7:10" ht="19.95" customHeight="1" x14ac:dyDescent="0.3">
      <c r="G116">
        <v>114</v>
      </c>
      <c r="H116" s="3">
        <v>7.2981455162783038E-2</v>
      </c>
      <c r="I116" s="3">
        <v>8.2120395353848311E-2</v>
      </c>
      <c r="J116">
        <f t="shared" si="2"/>
        <v>0</v>
      </c>
    </row>
    <row r="117" spans="7:10" ht="19.95" customHeight="1" x14ac:dyDescent="0.3">
      <c r="G117">
        <v>115</v>
      </c>
      <c r="H117" s="3">
        <v>0.1167696929779642</v>
      </c>
      <c r="I117" s="3">
        <v>0.12063506503364647</v>
      </c>
      <c r="J117">
        <f t="shared" si="2"/>
        <v>0</v>
      </c>
    </row>
    <row r="118" spans="7:10" ht="19.95" customHeight="1" x14ac:dyDescent="0.3">
      <c r="G118">
        <v>116</v>
      </c>
      <c r="H118" s="3">
        <v>0.10803049675045837</v>
      </c>
      <c r="I118" s="3">
        <v>8.7222645674983362E-2</v>
      </c>
      <c r="J118">
        <f t="shared" si="2"/>
        <v>1</v>
      </c>
    </row>
    <row r="119" spans="7:10" ht="19.95" customHeight="1" x14ac:dyDescent="0.3">
      <c r="G119">
        <v>117</v>
      </c>
      <c r="H119" s="3">
        <v>1.2934252434745656E-2</v>
      </c>
      <c r="I119" s="3">
        <v>2.5811429450429909E-2</v>
      </c>
      <c r="J119">
        <f t="shared" si="2"/>
        <v>0</v>
      </c>
    </row>
    <row r="120" spans="7:10" ht="19.95" customHeight="1" x14ac:dyDescent="0.3">
      <c r="G120">
        <v>118</v>
      </c>
      <c r="H120" s="3">
        <v>-9.2164002041363657E-2</v>
      </c>
      <c r="I120" s="3">
        <v>-2.0948769411107446E-2</v>
      </c>
      <c r="J120">
        <f t="shared" si="2"/>
        <v>0</v>
      </c>
    </row>
    <row r="121" spans="7:10" ht="19.95" customHeight="1" x14ac:dyDescent="0.3">
      <c r="G121">
        <v>119</v>
      </c>
      <c r="H121" s="3">
        <v>6.1118512617641313E-2</v>
      </c>
      <c r="I121" s="3">
        <v>0.10576806711790378</v>
      </c>
      <c r="J121">
        <f t="shared" si="2"/>
        <v>0</v>
      </c>
    </row>
    <row r="122" spans="7:10" ht="19.95" customHeight="1" x14ac:dyDescent="0.3">
      <c r="G122">
        <v>120</v>
      </c>
      <c r="H122" s="3">
        <v>0.18243280023897204</v>
      </c>
      <c r="I122" s="3">
        <v>0.19940800633833292</v>
      </c>
      <c r="J122">
        <f t="shared" si="2"/>
        <v>0</v>
      </c>
    </row>
    <row r="123" spans="7:10" ht="19.95" customHeight="1" x14ac:dyDescent="0.3">
      <c r="G123">
        <v>121</v>
      </c>
      <c r="H123" s="3">
        <v>6.5358486094889201E-2</v>
      </c>
      <c r="I123" s="3">
        <v>0.1443693025127889</v>
      </c>
      <c r="J123">
        <f t="shared" si="2"/>
        <v>0</v>
      </c>
    </row>
    <row r="124" spans="7:10" ht="19.95" customHeight="1" x14ac:dyDescent="0.3">
      <c r="G124">
        <v>122</v>
      </c>
      <c r="H124" s="3">
        <v>9.6372483239987358E-2</v>
      </c>
      <c r="I124" s="3">
        <v>0.15877183230283287</v>
      </c>
      <c r="J124">
        <f t="shared" si="2"/>
        <v>0</v>
      </c>
    </row>
    <row r="125" spans="7:10" ht="19.95" customHeight="1" x14ac:dyDescent="0.3">
      <c r="G125">
        <v>123</v>
      </c>
      <c r="H125" s="3">
        <v>5.0755765889623407E-3</v>
      </c>
      <c r="I125" s="3">
        <v>5.0336868381287862E-2</v>
      </c>
      <c r="J125">
        <f t="shared" si="2"/>
        <v>0</v>
      </c>
    </row>
    <row r="126" spans="7:10" ht="19.95" customHeight="1" x14ac:dyDescent="0.3">
      <c r="G126">
        <v>124</v>
      </c>
      <c r="H126" s="3">
        <v>-6.9239832221498557E-2</v>
      </c>
      <c r="I126" s="3">
        <v>-0.11430988128710079</v>
      </c>
      <c r="J126">
        <f t="shared" si="2"/>
        <v>1</v>
      </c>
    </row>
    <row r="127" spans="7:10" ht="19.95" customHeight="1" x14ac:dyDescent="0.3">
      <c r="G127">
        <v>125</v>
      </c>
      <c r="H127" s="3">
        <v>-0.10131493699035873</v>
      </c>
      <c r="I127" s="3">
        <v>-0.15325338500593808</v>
      </c>
      <c r="J127">
        <f t="shared" si="2"/>
        <v>1</v>
      </c>
    </row>
    <row r="128" spans="7:10" ht="19.95" customHeight="1" x14ac:dyDescent="0.3">
      <c r="G128">
        <v>126</v>
      </c>
      <c r="H128" s="3">
        <v>0.20604200262544806</v>
      </c>
      <c r="I128" s="3">
        <v>0.26644172986611292</v>
      </c>
      <c r="J128">
        <f t="shared" si="2"/>
        <v>0</v>
      </c>
    </row>
    <row r="129" spans="7:10" ht="19.95" customHeight="1" x14ac:dyDescent="0.3">
      <c r="G129">
        <v>127</v>
      </c>
      <c r="H129" s="3">
        <v>1.3524185167933345E-3</v>
      </c>
      <c r="I129" s="3">
        <v>4.3688451516159091E-2</v>
      </c>
      <c r="J129">
        <f t="shared" si="2"/>
        <v>0</v>
      </c>
    </row>
    <row r="130" spans="7:10" ht="19.95" customHeight="1" x14ac:dyDescent="0.3">
      <c r="G130">
        <v>128</v>
      </c>
      <c r="H130" s="3">
        <v>-6.6775951248996282E-2</v>
      </c>
      <c r="I130" s="3">
        <v>-0.13700695045951564</v>
      </c>
      <c r="J130">
        <f t="shared" si="2"/>
        <v>1</v>
      </c>
    </row>
    <row r="131" spans="7:10" ht="19.95" customHeight="1" x14ac:dyDescent="0.3">
      <c r="G131">
        <v>129</v>
      </c>
      <c r="H131" s="3">
        <v>8.8702127507453876E-2</v>
      </c>
      <c r="I131" s="3">
        <v>7.2228300634308407E-2</v>
      </c>
      <c r="J131">
        <f t="shared" si="2"/>
        <v>1</v>
      </c>
    </row>
    <row r="132" spans="7:10" ht="19.95" customHeight="1" x14ac:dyDescent="0.3">
      <c r="G132">
        <v>130</v>
      </c>
      <c r="H132" s="3">
        <v>-6.2611020612542857E-3</v>
      </c>
      <c r="I132" s="3">
        <v>3.392294663590148E-2</v>
      </c>
      <c r="J132">
        <f t="shared" ref="J132:J195" si="3">IF(H132&gt;I132,1,0)</f>
        <v>0</v>
      </c>
    </row>
    <row r="133" spans="7:10" ht="19.95" customHeight="1" x14ac:dyDescent="0.3">
      <c r="G133">
        <v>131</v>
      </c>
      <c r="H133" s="3">
        <v>4.0968419529273811E-2</v>
      </c>
      <c r="I133" s="3">
        <v>0.11356350656027768</v>
      </c>
      <c r="J133">
        <f t="shared" si="3"/>
        <v>0</v>
      </c>
    </row>
    <row r="134" spans="7:10" ht="19.95" customHeight="1" x14ac:dyDescent="0.3">
      <c r="G134">
        <v>132</v>
      </c>
      <c r="H134" s="3">
        <v>1.0725001994874214E-2</v>
      </c>
      <c r="I134" s="3">
        <v>9.1676092643724616E-2</v>
      </c>
      <c r="J134">
        <f t="shared" si="3"/>
        <v>0</v>
      </c>
    </row>
    <row r="135" spans="7:10" ht="19.95" customHeight="1" x14ac:dyDescent="0.3">
      <c r="G135">
        <v>133</v>
      </c>
      <c r="H135" s="3">
        <v>-3.9105543472863838E-3</v>
      </c>
      <c r="I135" s="3">
        <v>3.988382150648153E-2</v>
      </c>
      <c r="J135">
        <f t="shared" si="3"/>
        <v>0</v>
      </c>
    </row>
    <row r="136" spans="7:10" ht="19.95" customHeight="1" x14ac:dyDescent="0.3">
      <c r="G136">
        <v>134</v>
      </c>
      <c r="H136" s="3">
        <v>9.631205970909798E-2</v>
      </c>
      <c r="I136" s="3">
        <v>6.0281358373498066E-2</v>
      </c>
      <c r="J136">
        <f t="shared" si="3"/>
        <v>1</v>
      </c>
    </row>
    <row r="137" spans="7:10" ht="19.95" customHeight="1" x14ac:dyDescent="0.3">
      <c r="G137">
        <v>135</v>
      </c>
      <c r="H137" s="3">
        <v>1.4536021564688549E-2</v>
      </c>
      <c r="I137" s="3">
        <v>3.5801389507896512E-2</v>
      </c>
      <c r="J137">
        <f t="shared" si="3"/>
        <v>0</v>
      </c>
    </row>
    <row r="138" spans="7:10" ht="19.95" customHeight="1" x14ac:dyDescent="0.3">
      <c r="G138">
        <v>136</v>
      </c>
      <c r="H138" s="3">
        <v>0.14842893792545259</v>
      </c>
      <c r="I138" s="3">
        <v>0.1978191083045209</v>
      </c>
      <c r="J138">
        <f t="shared" si="3"/>
        <v>0</v>
      </c>
    </row>
    <row r="139" spans="7:10" ht="19.95" customHeight="1" x14ac:dyDescent="0.3">
      <c r="G139">
        <v>137</v>
      </c>
      <c r="H139" s="3">
        <v>-0.16089188435554136</v>
      </c>
      <c r="I139" s="3">
        <v>-9.6897157505394266E-2</v>
      </c>
      <c r="J139">
        <f t="shared" si="3"/>
        <v>0</v>
      </c>
    </row>
    <row r="140" spans="7:10" ht="19.95" customHeight="1" x14ac:dyDescent="0.3">
      <c r="G140">
        <v>138</v>
      </c>
      <c r="H140" s="3">
        <v>0.12484540020411025</v>
      </c>
      <c r="I140" s="3">
        <v>0.14074101241327239</v>
      </c>
      <c r="J140">
        <f t="shared" si="3"/>
        <v>0</v>
      </c>
    </row>
    <row r="141" spans="7:10" ht="19.95" customHeight="1" x14ac:dyDescent="0.3">
      <c r="G141">
        <v>139</v>
      </c>
      <c r="H141" s="3">
        <v>-8.7405909471257731E-3</v>
      </c>
      <c r="I141" s="3">
        <v>-3.1197054844060046E-2</v>
      </c>
      <c r="J141">
        <f t="shared" si="3"/>
        <v>1</v>
      </c>
    </row>
    <row r="142" spans="7:10" ht="19.95" customHeight="1" x14ac:dyDescent="0.3">
      <c r="G142">
        <v>140</v>
      </c>
      <c r="H142" s="3">
        <v>-0.20341872304982378</v>
      </c>
      <c r="I142" s="3">
        <v>-0.18216943222288653</v>
      </c>
      <c r="J142">
        <f t="shared" si="3"/>
        <v>0</v>
      </c>
    </row>
    <row r="143" spans="7:10" ht="19.95" customHeight="1" x14ac:dyDescent="0.3">
      <c r="G143">
        <v>141</v>
      </c>
      <c r="H143" s="3">
        <v>5.0335532422121854E-2</v>
      </c>
      <c r="I143" s="3">
        <v>0.10010075243302705</v>
      </c>
      <c r="J143">
        <f t="shared" si="3"/>
        <v>0</v>
      </c>
    </row>
    <row r="144" spans="7:10" ht="19.95" customHeight="1" x14ac:dyDescent="0.3">
      <c r="G144">
        <v>142</v>
      </c>
      <c r="H144" s="3">
        <v>0.2175353825715679</v>
      </c>
      <c r="I144" s="3">
        <v>0.2309788484029538</v>
      </c>
      <c r="J144">
        <f t="shared" si="3"/>
        <v>0</v>
      </c>
    </row>
    <row r="145" spans="7:10" ht="19.95" customHeight="1" x14ac:dyDescent="0.3">
      <c r="G145">
        <v>143</v>
      </c>
      <c r="H145" s="3">
        <v>-3.4987418870626563E-2</v>
      </c>
      <c r="I145" s="3">
        <v>-1.5816682990323773E-2</v>
      </c>
      <c r="J145">
        <f t="shared" si="3"/>
        <v>0</v>
      </c>
    </row>
    <row r="146" spans="7:10" ht="19.95" customHeight="1" x14ac:dyDescent="0.3">
      <c r="G146">
        <v>144</v>
      </c>
      <c r="H146" s="3">
        <v>0.12624160277887189</v>
      </c>
      <c r="I146" s="3">
        <v>9.8150383290537657E-2</v>
      </c>
      <c r="J146">
        <f t="shared" si="3"/>
        <v>1</v>
      </c>
    </row>
    <row r="147" spans="7:10" ht="19.95" customHeight="1" x14ac:dyDescent="0.3">
      <c r="G147">
        <v>145</v>
      </c>
      <c r="H147" s="3">
        <v>8.9694336462281324E-3</v>
      </c>
      <c r="I147" s="3">
        <v>-7.6649319740809052E-3</v>
      </c>
      <c r="J147">
        <f t="shared" si="3"/>
        <v>1</v>
      </c>
    </row>
    <row r="148" spans="7:10" ht="19.95" customHeight="1" x14ac:dyDescent="0.3">
      <c r="G148">
        <v>146</v>
      </c>
      <c r="H148" s="3">
        <v>6.0847491124859264E-3</v>
      </c>
      <c r="I148" s="3">
        <v>-1.3471487420946279E-2</v>
      </c>
      <c r="J148">
        <f t="shared" si="3"/>
        <v>1</v>
      </c>
    </row>
    <row r="149" spans="7:10" ht="19.95" customHeight="1" x14ac:dyDescent="0.3">
      <c r="G149">
        <v>147</v>
      </c>
      <c r="H149" s="3">
        <v>2.6608223615686533E-2</v>
      </c>
      <c r="I149" s="3">
        <v>3.3547057741263001E-2</v>
      </c>
      <c r="J149">
        <f t="shared" si="3"/>
        <v>0</v>
      </c>
    </row>
    <row r="150" spans="7:10" ht="19.95" customHeight="1" x14ac:dyDescent="0.3">
      <c r="G150">
        <v>148</v>
      </c>
      <c r="H150" s="3">
        <v>-5.876932154396064E-2</v>
      </c>
      <c r="I150" s="3">
        <v>1.8010361099971832E-3</v>
      </c>
      <c r="J150">
        <f t="shared" si="3"/>
        <v>0</v>
      </c>
    </row>
    <row r="151" spans="7:10" ht="19.95" customHeight="1" x14ac:dyDescent="0.3">
      <c r="G151">
        <v>149</v>
      </c>
      <c r="H151" s="3">
        <v>4.9895641048057382E-2</v>
      </c>
      <c r="I151" s="3">
        <v>6.863726463969733E-3</v>
      </c>
      <c r="J151">
        <f t="shared" si="3"/>
        <v>1</v>
      </c>
    </row>
    <row r="152" spans="7:10" ht="19.95" customHeight="1" x14ac:dyDescent="0.3">
      <c r="G152">
        <v>150</v>
      </c>
      <c r="H152" s="3">
        <v>0.1101567953978892</v>
      </c>
      <c r="I152" s="3">
        <v>0.17899747939532895</v>
      </c>
      <c r="J152">
        <f t="shared" si="3"/>
        <v>0</v>
      </c>
    </row>
    <row r="153" spans="7:10" ht="19.95" customHeight="1" x14ac:dyDescent="0.3">
      <c r="G153">
        <v>151</v>
      </c>
      <c r="H153" s="3">
        <v>-0.12122541815732352</v>
      </c>
      <c r="I153" s="3">
        <v>3.0467532443158172E-2</v>
      </c>
      <c r="J153">
        <f t="shared" si="3"/>
        <v>0</v>
      </c>
    </row>
    <row r="154" spans="7:10" ht="19.95" customHeight="1" x14ac:dyDescent="0.3">
      <c r="G154">
        <v>152</v>
      </c>
      <c r="H154" s="3">
        <v>4.5151057320409055E-2</v>
      </c>
      <c r="I154" s="3">
        <v>6.6107280173380925E-2</v>
      </c>
      <c r="J154">
        <f t="shared" si="3"/>
        <v>0</v>
      </c>
    </row>
    <row r="155" spans="7:10" ht="19.95" customHeight="1" x14ac:dyDescent="0.3">
      <c r="G155">
        <v>153</v>
      </c>
      <c r="H155" s="3">
        <v>-7.1097385274809466E-2</v>
      </c>
      <c r="I155" s="3">
        <v>-0.21453631869182005</v>
      </c>
      <c r="J155">
        <f t="shared" si="3"/>
        <v>1</v>
      </c>
    </row>
    <row r="156" spans="7:10" ht="19.95" customHeight="1" x14ac:dyDescent="0.3">
      <c r="G156">
        <v>154</v>
      </c>
      <c r="H156" s="3">
        <v>0.13247704358274259</v>
      </c>
      <c r="I156" s="3">
        <v>-7.7236164026605264E-3</v>
      </c>
      <c r="J156">
        <f t="shared" si="3"/>
        <v>1</v>
      </c>
    </row>
    <row r="157" spans="7:10" ht="19.95" customHeight="1" x14ac:dyDescent="0.3">
      <c r="G157">
        <v>155</v>
      </c>
      <c r="H157" s="3">
        <v>7.1840245608762426E-2</v>
      </c>
      <c r="I157" s="3">
        <v>0.16001812180360792</v>
      </c>
      <c r="J157">
        <f t="shared" si="3"/>
        <v>0</v>
      </c>
    </row>
    <row r="158" spans="7:10" ht="19.95" customHeight="1" x14ac:dyDescent="0.3">
      <c r="G158">
        <v>156</v>
      </c>
      <c r="H158" s="3">
        <v>-0.10448475836729243</v>
      </c>
      <c r="I158" s="3">
        <v>-7.0889665040575964E-2</v>
      </c>
      <c r="J158">
        <f t="shared" si="3"/>
        <v>0</v>
      </c>
    </row>
    <row r="159" spans="7:10" ht="19.95" customHeight="1" x14ac:dyDescent="0.3">
      <c r="G159">
        <v>157</v>
      </c>
      <c r="H159" s="3">
        <v>7.1794975992511847E-2</v>
      </c>
      <c r="I159" s="3">
        <v>6.8619775770869893E-3</v>
      </c>
      <c r="J159">
        <f t="shared" si="3"/>
        <v>1</v>
      </c>
    </row>
    <row r="160" spans="7:10" ht="19.95" customHeight="1" x14ac:dyDescent="0.3">
      <c r="G160">
        <v>158</v>
      </c>
      <c r="H160" s="3">
        <v>9.3973950493675698E-2</v>
      </c>
      <c r="I160" s="3">
        <v>8.7499491437456875E-2</v>
      </c>
      <c r="J160">
        <f t="shared" si="3"/>
        <v>1</v>
      </c>
    </row>
    <row r="161" spans="7:10" ht="19.95" customHeight="1" x14ac:dyDescent="0.3">
      <c r="G161">
        <v>159</v>
      </c>
      <c r="H161" s="3">
        <v>-0.13569505701469375</v>
      </c>
      <c r="I161" s="3">
        <v>-0.12046402735691498</v>
      </c>
      <c r="J161">
        <f t="shared" si="3"/>
        <v>0</v>
      </c>
    </row>
    <row r="162" spans="7:10" ht="19.95" customHeight="1" x14ac:dyDescent="0.3">
      <c r="G162">
        <v>160</v>
      </c>
      <c r="H162" s="3">
        <v>8.6697564538624095E-2</v>
      </c>
      <c r="I162" s="3">
        <v>4.4520938911653853E-2</v>
      </c>
      <c r="J162">
        <f t="shared" si="3"/>
        <v>1</v>
      </c>
    </row>
    <row r="163" spans="7:10" ht="19.95" customHeight="1" x14ac:dyDescent="0.3">
      <c r="G163">
        <v>161</v>
      </c>
      <c r="H163" s="3">
        <v>-0.12752394332193548</v>
      </c>
      <c r="I163" s="3">
        <v>-0.14643799175074682</v>
      </c>
      <c r="J163">
        <f t="shared" si="3"/>
        <v>1</v>
      </c>
    </row>
    <row r="164" spans="7:10" ht="19.95" customHeight="1" x14ac:dyDescent="0.3">
      <c r="G164">
        <v>162</v>
      </c>
      <c r="H164" s="3">
        <v>-3.0177993210177938E-2</v>
      </c>
      <c r="I164" s="3">
        <v>-0.15968683327193961</v>
      </c>
      <c r="J164">
        <f t="shared" si="3"/>
        <v>1</v>
      </c>
    </row>
    <row r="165" spans="7:10" ht="19.95" customHeight="1" x14ac:dyDescent="0.3">
      <c r="G165">
        <v>163</v>
      </c>
      <c r="H165" s="3">
        <v>5.5869919825702129E-2</v>
      </c>
      <c r="I165" s="3">
        <v>0.10855004004164545</v>
      </c>
      <c r="J165">
        <f t="shared" si="3"/>
        <v>0</v>
      </c>
    </row>
    <row r="166" spans="7:10" ht="19.95" customHeight="1" x14ac:dyDescent="0.3">
      <c r="G166">
        <v>164</v>
      </c>
      <c r="H166" s="3">
        <v>-6.3533547464695167E-3</v>
      </c>
      <c r="I166" s="3">
        <v>-8.8975474497572468E-2</v>
      </c>
      <c r="J166">
        <f t="shared" si="3"/>
        <v>1</v>
      </c>
    </row>
    <row r="167" spans="7:10" ht="19.95" customHeight="1" x14ac:dyDescent="0.3">
      <c r="G167">
        <v>165</v>
      </c>
      <c r="H167" s="3">
        <v>0.13286018016970472</v>
      </c>
      <c r="I167" s="3">
        <v>8.9958435092334796E-2</v>
      </c>
      <c r="J167">
        <f t="shared" si="3"/>
        <v>1</v>
      </c>
    </row>
    <row r="168" spans="7:10" ht="19.95" customHeight="1" x14ac:dyDescent="0.3">
      <c r="G168">
        <v>166</v>
      </c>
      <c r="H168" s="3">
        <v>0.15877078778404097</v>
      </c>
      <c r="I168" s="3">
        <v>4.4186300480099902E-2</v>
      </c>
      <c r="J168">
        <f t="shared" si="3"/>
        <v>1</v>
      </c>
    </row>
    <row r="169" spans="7:10" ht="19.95" customHeight="1" x14ac:dyDescent="0.3">
      <c r="G169">
        <v>167</v>
      </c>
      <c r="H169" s="3">
        <v>2.597600398946949E-2</v>
      </c>
      <c r="I169" s="3">
        <v>4.1092067311060916E-2</v>
      </c>
      <c r="J169">
        <f t="shared" si="3"/>
        <v>0</v>
      </c>
    </row>
    <row r="170" spans="7:10" ht="19.95" customHeight="1" x14ac:dyDescent="0.3">
      <c r="G170">
        <v>168</v>
      </c>
      <c r="H170" s="3">
        <v>0.12855066173354227</v>
      </c>
      <c r="I170" s="3">
        <v>0.18402565576326604</v>
      </c>
      <c r="J170">
        <f t="shared" si="3"/>
        <v>0</v>
      </c>
    </row>
    <row r="171" spans="7:10" ht="19.95" customHeight="1" x14ac:dyDescent="0.3">
      <c r="G171">
        <v>169</v>
      </c>
      <c r="H171" s="3">
        <v>-2.2764440598562329E-2</v>
      </c>
      <c r="I171" s="3">
        <v>-5.3249262263367091E-2</v>
      </c>
      <c r="J171">
        <f t="shared" si="3"/>
        <v>1</v>
      </c>
    </row>
    <row r="172" spans="7:10" ht="19.95" customHeight="1" x14ac:dyDescent="0.3">
      <c r="G172">
        <v>170</v>
      </c>
      <c r="H172" s="3">
        <v>6.1042413357553747E-2</v>
      </c>
      <c r="I172" s="3">
        <v>0.20455883540122452</v>
      </c>
      <c r="J172">
        <f t="shared" si="3"/>
        <v>0</v>
      </c>
    </row>
    <row r="173" spans="7:10" ht="19.95" customHeight="1" x14ac:dyDescent="0.3">
      <c r="G173">
        <v>171</v>
      </c>
      <c r="H173" s="3">
        <v>6.9877370365229619E-2</v>
      </c>
      <c r="I173" s="3">
        <v>-3.3493105475182014E-2</v>
      </c>
      <c r="J173">
        <f t="shared" si="3"/>
        <v>1</v>
      </c>
    </row>
    <row r="174" spans="7:10" ht="19.95" customHeight="1" x14ac:dyDescent="0.3">
      <c r="G174">
        <v>172</v>
      </c>
      <c r="H174" s="3">
        <v>-8.4808487886271267E-2</v>
      </c>
      <c r="I174" s="3">
        <v>-0.20213747273188043</v>
      </c>
      <c r="J174">
        <f t="shared" si="3"/>
        <v>1</v>
      </c>
    </row>
    <row r="175" spans="7:10" ht="19.95" customHeight="1" x14ac:dyDescent="0.3">
      <c r="G175">
        <v>173</v>
      </c>
      <c r="H175" s="3">
        <v>2.8828762878989517E-2</v>
      </c>
      <c r="I175" s="3">
        <v>-1.7171743200566494E-2</v>
      </c>
      <c r="J175">
        <f t="shared" si="3"/>
        <v>1</v>
      </c>
    </row>
    <row r="176" spans="7:10" ht="19.95" customHeight="1" x14ac:dyDescent="0.3">
      <c r="G176">
        <v>174</v>
      </c>
      <c r="H176" s="3">
        <v>0.18315260723118215</v>
      </c>
      <c r="I176" s="3">
        <v>0.35485737806968221</v>
      </c>
      <c r="J176">
        <f t="shared" si="3"/>
        <v>0</v>
      </c>
    </row>
    <row r="177" spans="7:10" ht="19.95" customHeight="1" x14ac:dyDescent="0.3">
      <c r="G177">
        <v>175</v>
      </c>
      <c r="H177" s="3">
        <v>1.8312323592417711E-2</v>
      </c>
      <c r="I177" s="3">
        <v>-3.9024266399407113E-2</v>
      </c>
      <c r="J177">
        <f t="shared" si="3"/>
        <v>1</v>
      </c>
    </row>
    <row r="178" spans="7:10" ht="19.95" customHeight="1" x14ac:dyDescent="0.3">
      <c r="G178">
        <v>176</v>
      </c>
      <c r="H178" s="3">
        <v>7.0288236135908483E-2</v>
      </c>
      <c r="I178" s="3">
        <v>7.3871021740187712E-2</v>
      </c>
      <c r="J178">
        <f t="shared" si="3"/>
        <v>0</v>
      </c>
    </row>
    <row r="179" spans="7:10" ht="19.95" customHeight="1" x14ac:dyDescent="0.3">
      <c r="G179">
        <v>177</v>
      </c>
      <c r="H179" s="3">
        <v>5.9218150890061961E-3</v>
      </c>
      <c r="I179" s="3">
        <v>7.2701521238418013E-2</v>
      </c>
      <c r="J179">
        <f t="shared" si="3"/>
        <v>0</v>
      </c>
    </row>
    <row r="180" spans="7:10" ht="19.95" customHeight="1" x14ac:dyDescent="0.3">
      <c r="G180">
        <v>178</v>
      </c>
      <c r="H180" s="3">
        <v>-0.1451617185222781</v>
      </c>
      <c r="I180" s="3">
        <v>-5.6858399578867326E-2</v>
      </c>
      <c r="J180">
        <f t="shared" si="3"/>
        <v>0</v>
      </c>
    </row>
    <row r="181" spans="7:10" ht="19.95" customHeight="1" x14ac:dyDescent="0.3">
      <c r="G181">
        <v>179</v>
      </c>
      <c r="H181" s="3">
        <v>8.0947865350931278E-2</v>
      </c>
      <c r="I181" s="3">
        <v>0.11002099901572809</v>
      </c>
      <c r="J181">
        <f t="shared" si="3"/>
        <v>0</v>
      </c>
    </row>
    <row r="182" spans="7:10" ht="19.95" customHeight="1" x14ac:dyDescent="0.3">
      <c r="G182">
        <v>180</v>
      </c>
      <c r="H182" s="3">
        <v>8.7793909151156729E-2</v>
      </c>
      <c r="I182" s="3">
        <v>0.1910246881273869</v>
      </c>
      <c r="J182">
        <f t="shared" si="3"/>
        <v>0</v>
      </c>
    </row>
    <row r="183" spans="7:10" ht="19.95" customHeight="1" x14ac:dyDescent="0.3">
      <c r="G183">
        <v>181</v>
      </c>
      <c r="H183" s="3">
        <v>-0.12164642377570738</v>
      </c>
      <c r="I183" s="3">
        <v>-7.3032137199022351E-2</v>
      </c>
      <c r="J183">
        <f t="shared" si="3"/>
        <v>0</v>
      </c>
    </row>
    <row r="184" spans="7:10" ht="19.95" customHeight="1" x14ac:dyDescent="0.3">
      <c r="G184">
        <v>182</v>
      </c>
      <c r="H184" s="3">
        <v>0.14663409782027886</v>
      </c>
      <c r="I184" s="3">
        <v>0.21507428238702808</v>
      </c>
      <c r="J184">
        <f t="shared" si="3"/>
        <v>0</v>
      </c>
    </row>
    <row r="185" spans="7:10" ht="19.95" customHeight="1" x14ac:dyDescent="0.3">
      <c r="G185">
        <v>183</v>
      </c>
      <c r="H185" s="3">
        <v>0.13860980472137568</v>
      </c>
      <c r="I185" s="3">
        <v>0.14339675716169117</v>
      </c>
      <c r="J185">
        <f t="shared" si="3"/>
        <v>0</v>
      </c>
    </row>
    <row r="186" spans="7:10" ht="19.95" customHeight="1" x14ac:dyDescent="0.3">
      <c r="G186">
        <v>184</v>
      </c>
      <c r="H186" s="3">
        <v>2.1745588883120455E-3</v>
      </c>
      <c r="I186" s="3">
        <v>4.0103863161620561E-3</v>
      </c>
      <c r="J186">
        <f t="shared" si="3"/>
        <v>0</v>
      </c>
    </row>
    <row r="187" spans="7:10" ht="19.95" customHeight="1" x14ac:dyDescent="0.3">
      <c r="G187">
        <v>185</v>
      </c>
      <c r="H187" s="3">
        <v>1.1873549727330924E-2</v>
      </c>
      <c r="I187" s="3">
        <v>-1.8162896184691617E-2</v>
      </c>
      <c r="J187">
        <f t="shared" si="3"/>
        <v>1</v>
      </c>
    </row>
    <row r="188" spans="7:10" ht="19.95" customHeight="1" x14ac:dyDescent="0.3">
      <c r="G188">
        <v>186</v>
      </c>
      <c r="H188" s="3">
        <v>-5.3267086428969199E-2</v>
      </c>
      <c r="I188" s="3">
        <v>-1.5339897033217349E-2</v>
      </c>
      <c r="J188">
        <f t="shared" si="3"/>
        <v>0</v>
      </c>
    </row>
    <row r="189" spans="7:10" ht="19.95" customHeight="1" x14ac:dyDescent="0.3">
      <c r="G189">
        <v>187</v>
      </c>
      <c r="H189" s="3">
        <v>7.1650320018449468E-2</v>
      </c>
      <c r="I189" s="3">
        <v>6.8082045737194341E-2</v>
      </c>
      <c r="J189">
        <f t="shared" si="3"/>
        <v>1</v>
      </c>
    </row>
    <row r="190" spans="7:10" ht="19.95" customHeight="1" x14ac:dyDescent="0.3">
      <c r="G190">
        <v>188</v>
      </c>
      <c r="H190" s="3">
        <v>0.16473721181497261</v>
      </c>
      <c r="I190" s="3">
        <v>0.20954301095826453</v>
      </c>
      <c r="J190">
        <f t="shared" si="3"/>
        <v>0</v>
      </c>
    </row>
    <row r="191" spans="7:10" ht="19.95" customHeight="1" x14ac:dyDescent="0.3">
      <c r="G191">
        <v>189</v>
      </c>
      <c r="H191" s="3">
        <v>8.8960275553774573E-2</v>
      </c>
      <c r="I191" s="3">
        <v>0.14062760633390753</v>
      </c>
      <c r="J191">
        <f t="shared" si="3"/>
        <v>0</v>
      </c>
    </row>
    <row r="192" spans="7:10" ht="19.95" customHeight="1" x14ac:dyDescent="0.3">
      <c r="G192">
        <v>190</v>
      </c>
      <c r="H192" s="3">
        <v>4.813146687828837E-2</v>
      </c>
      <c r="I192" s="3">
        <v>0.10602792448134714</v>
      </c>
      <c r="J192">
        <f t="shared" si="3"/>
        <v>0</v>
      </c>
    </row>
    <row r="193" spans="7:10" ht="19.95" customHeight="1" x14ac:dyDescent="0.3">
      <c r="G193">
        <v>191</v>
      </c>
      <c r="H193" s="3">
        <v>-3.1331304713599066E-2</v>
      </c>
      <c r="I193" s="3">
        <v>7.7015974249279064E-5</v>
      </c>
      <c r="J193">
        <f t="shared" si="3"/>
        <v>0</v>
      </c>
    </row>
    <row r="194" spans="7:10" ht="19.95" customHeight="1" x14ac:dyDescent="0.3">
      <c r="G194">
        <v>192</v>
      </c>
      <c r="H194" s="3">
        <v>0.11973351812947299</v>
      </c>
      <c r="I194" s="3">
        <v>0.12889714934175059</v>
      </c>
      <c r="J194">
        <f t="shared" si="3"/>
        <v>0</v>
      </c>
    </row>
    <row r="195" spans="7:10" ht="19.95" customHeight="1" x14ac:dyDescent="0.3">
      <c r="G195">
        <v>193</v>
      </c>
      <c r="H195" s="3">
        <v>3.8419022661997516E-2</v>
      </c>
      <c r="I195" s="3">
        <v>-5.4624490827161983E-2</v>
      </c>
      <c r="J195">
        <f t="shared" si="3"/>
        <v>1</v>
      </c>
    </row>
    <row r="196" spans="7:10" ht="19.95" customHeight="1" x14ac:dyDescent="0.3">
      <c r="G196">
        <v>194</v>
      </c>
      <c r="H196" s="3">
        <v>0.20328171407772724</v>
      </c>
      <c r="I196" s="3">
        <v>0.15973974176111377</v>
      </c>
      <c r="J196">
        <f t="shared" ref="J196:J259" si="4">IF(H196&gt;I196,1,0)</f>
        <v>1</v>
      </c>
    </row>
    <row r="197" spans="7:10" ht="19.95" customHeight="1" x14ac:dyDescent="0.3">
      <c r="G197">
        <v>195</v>
      </c>
      <c r="H197" s="3">
        <v>-2.7755937710257153E-4</v>
      </c>
      <c r="I197" s="3">
        <v>2.9259012444523705E-3</v>
      </c>
      <c r="J197">
        <f t="shared" si="4"/>
        <v>0</v>
      </c>
    </row>
    <row r="198" spans="7:10" ht="19.95" customHeight="1" x14ac:dyDescent="0.3">
      <c r="G198">
        <v>196</v>
      </c>
      <c r="H198" s="3">
        <v>8.8149716243386411E-3</v>
      </c>
      <c r="I198" s="3">
        <v>0.10146924246073298</v>
      </c>
      <c r="J198">
        <f t="shared" si="4"/>
        <v>0</v>
      </c>
    </row>
    <row r="199" spans="7:10" ht="19.95" customHeight="1" x14ac:dyDescent="0.3">
      <c r="G199">
        <v>197</v>
      </c>
      <c r="H199" s="3">
        <v>0.19643314960473429</v>
      </c>
      <c r="I199" s="3">
        <v>0.24997442637077177</v>
      </c>
      <c r="J199">
        <f t="shared" si="4"/>
        <v>0</v>
      </c>
    </row>
    <row r="200" spans="7:10" ht="19.95" customHeight="1" x14ac:dyDescent="0.3">
      <c r="G200">
        <v>198</v>
      </c>
      <c r="H200" s="3">
        <v>0.13987120055071517</v>
      </c>
      <c r="I200" s="3">
        <v>3.9770242989855875E-2</v>
      </c>
      <c r="J200">
        <f t="shared" si="4"/>
        <v>1</v>
      </c>
    </row>
    <row r="201" spans="7:10" ht="19.95" customHeight="1" x14ac:dyDescent="0.3">
      <c r="G201">
        <v>199</v>
      </c>
      <c r="H201" s="3">
        <v>8.4755896468155872E-2</v>
      </c>
      <c r="I201" s="3">
        <v>0.10971258380341578</v>
      </c>
      <c r="J201">
        <f t="shared" si="4"/>
        <v>0</v>
      </c>
    </row>
    <row r="202" spans="7:10" ht="19.95" customHeight="1" x14ac:dyDescent="0.3">
      <c r="G202">
        <v>200</v>
      </c>
      <c r="H202" s="3">
        <v>2.622019261596166E-2</v>
      </c>
      <c r="I202" s="3">
        <v>-1.4874470471965055E-2</v>
      </c>
      <c r="J202">
        <f t="shared" si="4"/>
        <v>1</v>
      </c>
    </row>
    <row r="203" spans="7:10" ht="19.95" customHeight="1" x14ac:dyDescent="0.3">
      <c r="G203">
        <v>201</v>
      </c>
      <c r="H203" s="3">
        <v>8.0898307313829632E-2</v>
      </c>
      <c r="I203" s="3">
        <v>-7.9332988530997336E-2</v>
      </c>
      <c r="J203">
        <f t="shared" si="4"/>
        <v>1</v>
      </c>
    </row>
    <row r="204" spans="7:10" ht="19.95" customHeight="1" x14ac:dyDescent="0.3">
      <c r="G204">
        <v>202</v>
      </c>
      <c r="H204" s="3">
        <v>-1.0940811465873493E-2</v>
      </c>
      <c r="I204" s="3">
        <v>0.14234591447430003</v>
      </c>
      <c r="J204">
        <f t="shared" si="4"/>
        <v>0</v>
      </c>
    </row>
    <row r="205" spans="7:10" ht="19.95" customHeight="1" x14ac:dyDescent="0.3">
      <c r="G205">
        <v>203</v>
      </c>
      <c r="H205" s="3">
        <v>9.4712758636658359E-2</v>
      </c>
      <c r="I205" s="3">
        <v>5.074665285964574E-2</v>
      </c>
      <c r="J205">
        <f t="shared" si="4"/>
        <v>1</v>
      </c>
    </row>
    <row r="206" spans="7:10" ht="19.95" customHeight="1" x14ac:dyDescent="0.3">
      <c r="G206">
        <v>204</v>
      </c>
      <c r="H206" s="3">
        <v>6.3683683351544187E-2</v>
      </c>
      <c r="I206" s="3">
        <v>3.4790944952687523E-2</v>
      </c>
      <c r="J206">
        <f t="shared" si="4"/>
        <v>1</v>
      </c>
    </row>
    <row r="207" spans="7:10" ht="19.95" customHeight="1" x14ac:dyDescent="0.3">
      <c r="G207">
        <v>205</v>
      </c>
      <c r="H207" s="3">
        <v>6.9293384107181555E-2</v>
      </c>
      <c r="I207" s="3">
        <v>7.770433281920297E-2</v>
      </c>
      <c r="J207">
        <f t="shared" si="4"/>
        <v>0</v>
      </c>
    </row>
    <row r="208" spans="7:10" ht="19.95" customHeight="1" x14ac:dyDescent="0.3">
      <c r="G208">
        <v>206</v>
      </c>
      <c r="H208" s="3">
        <v>9.2905422215764255E-2</v>
      </c>
      <c r="I208" s="3">
        <v>0.12452139957412808</v>
      </c>
      <c r="J208">
        <f t="shared" si="4"/>
        <v>0</v>
      </c>
    </row>
    <row r="209" spans="7:10" ht="19.95" customHeight="1" x14ac:dyDescent="0.3">
      <c r="G209">
        <v>207</v>
      </c>
      <c r="H209" s="3">
        <v>0.13041277881654451</v>
      </c>
      <c r="I209" s="3">
        <v>3.4230097061789533E-2</v>
      </c>
      <c r="J209">
        <f t="shared" si="4"/>
        <v>1</v>
      </c>
    </row>
    <row r="210" spans="7:10" ht="19.95" customHeight="1" x14ac:dyDescent="0.3">
      <c r="G210">
        <v>208</v>
      </c>
      <c r="H210" s="3">
        <v>8.0835294525315807E-2</v>
      </c>
      <c r="I210" s="3">
        <v>5.1706551049477377E-2</v>
      </c>
      <c r="J210">
        <f t="shared" si="4"/>
        <v>1</v>
      </c>
    </row>
    <row r="211" spans="7:10" ht="19.95" customHeight="1" x14ac:dyDescent="0.3">
      <c r="G211">
        <v>209</v>
      </c>
      <c r="H211" s="3">
        <v>6.948691137487277E-2</v>
      </c>
      <c r="I211" s="3">
        <v>8.7233243556914683E-2</v>
      </c>
      <c r="J211">
        <f t="shared" si="4"/>
        <v>0</v>
      </c>
    </row>
    <row r="212" spans="7:10" ht="19.95" customHeight="1" x14ac:dyDescent="0.3">
      <c r="G212">
        <v>210</v>
      </c>
      <c r="H212" s="3">
        <v>0.12150109321618099</v>
      </c>
      <c r="I212" s="3">
        <v>0.11881244369867085</v>
      </c>
      <c r="J212">
        <f t="shared" si="4"/>
        <v>1</v>
      </c>
    </row>
    <row r="213" spans="7:10" ht="19.95" customHeight="1" x14ac:dyDescent="0.3">
      <c r="G213">
        <v>211</v>
      </c>
      <c r="H213" s="3">
        <v>-0.18097293914412696</v>
      </c>
      <c r="I213" s="3">
        <v>-9.6324952523548529E-2</v>
      </c>
      <c r="J213">
        <f t="shared" si="4"/>
        <v>0</v>
      </c>
    </row>
    <row r="214" spans="7:10" ht="19.95" customHeight="1" x14ac:dyDescent="0.3">
      <c r="G214">
        <v>212</v>
      </c>
      <c r="H214" s="3">
        <v>0.10673678167355316</v>
      </c>
      <c r="I214" s="3">
        <v>8.2958833139481089E-2</v>
      </c>
      <c r="J214">
        <f t="shared" si="4"/>
        <v>1</v>
      </c>
    </row>
    <row r="215" spans="7:10" ht="19.95" customHeight="1" x14ac:dyDescent="0.3">
      <c r="G215">
        <v>213</v>
      </c>
      <c r="H215" s="3">
        <v>-0.21964821871504628</v>
      </c>
      <c r="I215" s="3">
        <v>-0.11420449698121637</v>
      </c>
      <c r="J215">
        <f t="shared" si="4"/>
        <v>0</v>
      </c>
    </row>
    <row r="216" spans="7:10" ht="19.95" customHeight="1" x14ac:dyDescent="0.3">
      <c r="G216">
        <v>214</v>
      </c>
      <c r="H216" s="3">
        <v>-4.1930488429999163E-2</v>
      </c>
      <c r="I216" s="3">
        <v>1.2450474246390047E-2</v>
      </c>
      <c r="J216">
        <f t="shared" si="4"/>
        <v>0</v>
      </c>
    </row>
    <row r="217" spans="7:10" ht="19.95" customHeight="1" x14ac:dyDescent="0.3">
      <c r="G217">
        <v>215</v>
      </c>
      <c r="H217" s="3">
        <v>0.20629303506228644</v>
      </c>
      <c r="I217" s="3">
        <v>0.16462890834988494</v>
      </c>
      <c r="J217">
        <f t="shared" si="4"/>
        <v>1</v>
      </c>
    </row>
    <row r="218" spans="7:10" ht="19.95" customHeight="1" x14ac:dyDescent="0.3">
      <c r="G218">
        <v>216</v>
      </c>
      <c r="H218" s="3">
        <v>-5.3560454229937771E-2</v>
      </c>
      <c r="I218" s="3">
        <v>-5.2096806617131258E-2</v>
      </c>
      <c r="J218">
        <f t="shared" si="4"/>
        <v>0</v>
      </c>
    </row>
    <row r="219" spans="7:10" ht="19.95" customHeight="1" x14ac:dyDescent="0.3">
      <c r="G219">
        <v>217</v>
      </c>
      <c r="H219" s="3">
        <v>0.12902683761986972</v>
      </c>
      <c r="I219" s="3">
        <v>0.19599626919739963</v>
      </c>
      <c r="J219">
        <f t="shared" si="4"/>
        <v>0</v>
      </c>
    </row>
    <row r="220" spans="7:10" ht="19.95" customHeight="1" x14ac:dyDescent="0.3">
      <c r="G220">
        <v>218</v>
      </c>
      <c r="H220" s="3">
        <v>-4.455501161794849E-2</v>
      </c>
      <c r="I220" s="3">
        <v>4.3356053102261524E-2</v>
      </c>
      <c r="J220">
        <f t="shared" si="4"/>
        <v>0</v>
      </c>
    </row>
    <row r="221" spans="7:10" ht="19.95" customHeight="1" x14ac:dyDescent="0.3">
      <c r="G221">
        <v>219</v>
      </c>
      <c r="H221" s="3">
        <v>-1.7123671976114435E-3</v>
      </c>
      <c r="I221" s="3">
        <v>-3.5167106397705164E-2</v>
      </c>
      <c r="J221">
        <f t="shared" si="4"/>
        <v>1</v>
      </c>
    </row>
    <row r="222" spans="7:10" ht="19.95" customHeight="1" x14ac:dyDescent="0.3">
      <c r="G222">
        <v>220</v>
      </c>
      <c r="H222" s="3">
        <v>3.957168539430813E-2</v>
      </c>
      <c r="I222" s="3">
        <v>0.18351571733487035</v>
      </c>
      <c r="J222">
        <f t="shared" si="4"/>
        <v>0</v>
      </c>
    </row>
    <row r="223" spans="7:10" ht="19.95" customHeight="1" x14ac:dyDescent="0.3">
      <c r="G223">
        <v>221</v>
      </c>
      <c r="H223" s="3">
        <v>3.2734082041061201E-2</v>
      </c>
      <c r="I223" s="3">
        <v>7.2750065067528444E-2</v>
      </c>
      <c r="J223">
        <f t="shared" si="4"/>
        <v>0</v>
      </c>
    </row>
    <row r="224" spans="7:10" ht="19.95" customHeight="1" x14ac:dyDescent="0.3">
      <c r="G224">
        <v>222</v>
      </c>
      <c r="H224" s="3">
        <v>0.16333025509492424</v>
      </c>
      <c r="I224" s="3">
        <v>0.15761764555923749</v>
      </c>
      <c r="J224">
        <f t="shared" si="4"/>
        <v>1</v>
      </c>
    </row>
    <row r="225" spans="7:10" ht="19.95" customHeight="1" x14ac:dyDescent="0.3">
      <c r="G225">
        <v>223</v>
      </c>
      <c r="H225" s="3">
        <v>5.0391162613597891E-2</v>
      </c>
      <c r="I225" s="3">
        <v>4.818286520311596E-2</v>
      </c>
      <c r="J225">
        <f t="shared" si="4"/>
        <v>1</v>
      </c>
    </row>
    <row r="226" spans="7:10" ht="19.95" customHeight="1" x14ac:dyDescent="0.3">
      <c r="G226">
        <v>224</v>
      </c>
      <c r="H226" s="3">
        <v>6.6781055534777062E-2</v>
      </c>
      <c r="I226" s="3">
        <v>-3.4005096017361049E-4</v>
      </c>
      <c r="J226">
        <f t="shared" si="4"/>
        <v>1</v>
      </c>
    </row>
    <row r="227" spans="7:10" ht="19.95" customHeight="1" x14ac:dyDescent="0.3">
      <c r="G227">
        <v>225</v>
      </c>
      <c r="H227" s="3">
        <v>3.9506219265621631E-2</v>
      </c>
      <c r="I227" s="3">
        <v>-2.0779183920522332E-2</v>
      </c>
      <c r="J227">
        <f t="shared" si="4"/>
        <v>1</v>
      </c>
    </row>
    <row r="228" spans="7:10" ht="19.95" customHeight="1" x14ac:dyDescent="0.3">
      <c r="G228">
        <v>226</v>
      </c>
      <c r="H228" s="3">
        <v>0.17403552229747929</v>
      </c>
      <c r="I228" s="3">
        <v>8.0700545130358736E-2</v>
      </c>
      <c r="J228">
        <f t="shared" si="4"/>
        <v>1</v>
      </c>
    </row>
    <row r="229" spans="7:10" ht="19.95" customHeight="1" x14ac:dyDescent="0.3">
      <c r="G229">
        <v>227</v>
      </c>
      <c r="H229" s="3">
        <v>7.3121145774350832E-2</v>
      </c>
      <c r="I229" s="3">
        <v>1.4722017693738139E-2</v>
      </c>
      <c r="J229">
        <f t="shared" si="4"/>
        <v>1</v>
      </c>
    </row>
    <row r="230" spans="7:10" ht="19.95" customHeight="1" x14ac:dyDescent="0.3">
      <c r="G230">
        <v>228</v>
      </c>
      <c r="H230" s="3">
        <v>0.15389681904464397</v>
      </c>
      <c r="I230" s="3">
        <v>0.11888829229063003</v>
      </c>
      <c r="J230">
        <f t="shared" si="4"/>
        <v>1</v>
      </c>
    </row>
    <row r="231" spans="7:10" ht="19.95" customHeight="1" x14ac:dyDescent="0.3">
      <c r="G231">
        <v>229</v>
      </c>
      <c r="H231" s="3">
        <v>-9.6432983925808277E-2</v>
      </c>
      <c r="I231" s="3">
        <v>1.2743366215003145E-2</v>
      </c>
      <c r="J231">
        <f t="shared" si="4"/>
        <v>0</v>
      </c>
    </row>
    <row r="232" spans="7:10" ht="19.95" customHeight="1" x14ac:dyDescent="0.3">
      <c r="G232">
        <v>230</v>
      </c>
      <c r="H232" s="3">
        <v>-0.17888382896835206</v>
      </c>
      <c r="I232" s="3">
        <v>-0.1352587216719984</v>
      </c>
      <c r="J232">
        <f t="shared" si="4"/>
        <v>0</v>
      </c>
    </row>
    <row r="233" spans="7:10" ht="19.95" customHeight="1" x14ac:dyDescent="0.3">
      <c r="G233">
        <v>231</v>
      </c>
      <c r="H233" s="3">
        <v>0.17804105165438988</v>
      </c>
      <c r="I233" s="3">
        <v>9.0441124361559322E-2</v>
      </c>
      <c r="J233">
        <f t="shared" si="4"/>
        <v>1</v>
      </c>
    </row>
    <row r="234" spans="7:10" ht="19.95" customHeight="1" x14ac:dyDescent="0.3">
      <c r="G234">
        <v>232</v>
      </c>
      <c r="H234" s="3">
        <v>-7.9571671179164291E-2</v>
      </c>
      <c r="I234" s="3">
        <v>-3.6561798063524824E-2</v>
      </c>
      <c r="J234">
        <f t="shared" si="4"/>
        <v>0</v>
      </c>
    </row>
    <row r="235" spans="7:10" ht="19.95" customHeight="1" x14ac:dyDescent="0.3">
      <c r="G235">
        <v>233</v>
      </c>
      <c r="H235" s="3">
        <v>1.9885044912834007E-2</v>
      </c>
      <c r="I235" s="3">
        <v>0.12682840813690685</v>
      </c>
      <c r="J235">
        <f t="shared" si="4"/>
        <v>0</v>
      </c>
    </row>
    <row r="236" spans="7:10" ht="19.95" customHeight="1" x14ac:dyDescent="0.3">
      <c r="G236">
        <v>234</v>
      </c>
      <c r="H236" s="3">
        <v>0.14276160160895876</v>
      </c>
      <c r="I236" s="3">
        <v>0.19849574974352785</v>
      </c>
      <c r="J236">
        <f t="shared" si="4"/>
        <v>0</v>
      </c>
    </row>
    <row r="237" spans="7:10" ht="19.95" customHeight="1" x14ac:dyDescent="0.3">
      <c r="G237">
        <v>235</v>
      </c>
      <c r="H237" s="3">
        <v>0.11460734400481146</v>
      </c>
      <c r="I237" s="3">
        <v>7.0777271177303203E-2</v>
      </c>
      <c r="J237">
        <f t="shared" si="4"/>
        <v>1</v>
      </c>
    </row>
    <row r="238" spans="7:10" ht="19.95" customHeight="1" x14ac:dyDescent="0.3">
      <c r="G238">
        <v>236</v>
      </c>
      <c r="H238" s="3">
        <v>-0.12058516948527288</v>
      </c>
      <c r="I238" s="3">
        <v>-0.21546872373126613</v>
      </c>
      <c r="J238">
        <f t="shared" si="4"/>
        <v>1</v>
      </c>
    </row>
    <row r="239" spans="7:10" ht="19.95" customHeight="1" x14ac:dyDescent="0.3">
      <c r="G239">
        <v>237</v>
      </c>
      <c r="H239" s="3">
        <v>4.0029680815197213E-2</v>
      </c>
      <c r="I239" s="3">
        <v>-1.4323381015871172E-2</v>
      </c>
      <c r="J239">
        <f t="shared" si="4"/>
        <v>1</v>
      </c>
    </row>
    <row r="240" spans="7:10" ht="19.95" customHeight="1" x14ac:dyDescent="0.3">
      <c r="G240">
        <v>238</v>
      </c>
      <c r="H240" s="3">
        <v>-3.9375639115186226E-2</v>
      </c>
      <c r="I240" s="3">
        <v>-7.5550172990303255E-2</v>
      </c>
      <c r="J240">
        <f t="shared" si="4"/>
        <v>1</v>
      </c>
    </row>
    <row r="241" spans="7:10" ht="19.95" customHeight="1" x14ac:dyDescent="0.3">
      <c r="G241">
        <v>239</v>
      </c>
      <c r="H241" s="3">
        <v>0.24002096447824381</v>
      </c>
      <c r="I241" s="3">
        <v>0.17964336394900809</v>
      </c>
      <c r="J241">
        <f t="shared" si="4"/>
        <v>1</v>
      </c>
    </row>
    <row r="242" spans="7:10" ht="19.95" customHeight="1" x14ac:dyDescent="0.3">
      <c r="G242">
        <v>240</v>
      </c>
      <c r="H242" s="3">
        <v>0.12713036526893032</v>
      </c>
      <c r="I242" s="3">
        <v>0.22896267749682223</v>
      </c>
      <c r="J242">
        <f t="shared" si="4"/>
        <v>0</v>
      </c>
    </row>
    <row r="243" spans="7:10" ht="19.95" customHeight="1" x14ac:dyDescent="0.3">
      <c r="G243">
        <v>241</v>
      </c>
      <c r="H243" s="3">
        <v>8.7725805904755427E-2</v>
      </c>
      <c r="I243" s="3">
        <v>-2.0894480275949312E-2</v>
      </c>
      <c r="J243">
        <f t="shared" si="4"/>
        <v>1</v>
      </c>
    </row>
    <row r="244" spans="7:10" ht="19.95" customHeight="1" x14ac:dyDescent="0.3">
      <c r="G244">
        <v>242</v>
      </c>
      <c r="H244" s="3">
        <v>0.14161805831434346</v>
      </c>
      <c r="I244" s="3">
        <v>1.8427741914996545E-2</v>
      </c>
      <c r="J244">
        <f t="shared" si="4"/>
        <v>1</v>
      </c>
    </row>
    <row r="245" spans="7:10" ht="19.95" customHeight="1" x14ac:dyDescent="0.3">
      <c r="G245">
        <v>243</v>
      </c>
      <c r="H245" s="3">
        <v>-2.5270296614936169E-2</v>
      </c>
      <c r="I245" s="3">
        <v>3.4449946940276172E-2</v>
      </c>
      <c r="J245">
        <f t="shared" si="4"/>
        <v>0</v>
      </c>
    </row>
    <row r="246" spans="7:10" ht="19.95" customHeight="1" x14ac:dyDescent="0.3">
      <c r="G246">
        <v>244</v>
      </c>
      <c r="H246" s="3">
        <v>2.7395976222919574E-3</v>
      </c>
      <c r="I246" s="3">
        <v>-1.1894539189288549E-2</v>
      </c>
      <c r="J246">
        <f t="shared" si="4"/>
        <v>1</v>
      </c>
    </row>
    <row r="247" spans="7:10" ht="19.95" customHeight="1" x14ac:dyDescent="0.3">
      <c r="G247">
        <v>245</v>
      </c>
      <c r="H247" s="3">
        <v>4.2111184323337533E-2</v>
      </c>
      <c r="I247" s="3">
        <v>-3.4372513610834488E-2</v>
      </c>
      <c r="J247">
        <f t="shared" si="4"/>
        <v>1</v>
      </c>
    </row>
    <row r="248" spans="7:10" ht="19.95" customHeight="1" x14ac:dyDescent="0.3">
      <c r="G248">
        <v>246</v>
      </c>
      <c r="H248" s="3">
        <v>-1.7488842661806774E-2</v>
      </c>
      <c r="I248" s="3">
        <v>-6.0913051040844962E-2</v>
      </c>
      <c r="J248">
        <f t="shared" si="4"/>
        <v>1</v>
      </c>
    </row>
    <row r="249" spans="7:10" ht="19.95" customHeight="1" x14ac:dyDescent="0.3">
      <c r="G249">
        <v>247</v>
      </c>
      <c r="H249" s="3">
        <v>-1.9308674586791322E-2</v>
      </c>
      <c r="I249" s="3">
        <v>4.0109474923481526E-3</v>
      </c>
      <c r="J249">
        <f t="shared" si="4"/>
        <v>0</v>
      </c>
    </row>
    <row r="250" spans="7:10" ht="19.95" customHeight="1" x14ac:dyDescent="0.3">
      <c r="G250">
        <v>248</v>
      </c>
      <c r="H250" s="3">
        <v>-0.23157857534634413</v>
      </c>
      <c r="I250" s="3">
        <v>-0.13373433701380824</v>
      </c>
      <c r="J250">
        <f t="shared" si="4"/>
        <v>0</v>
      </c>
    </row>
    <row r="251" spans="7:10" ht="19.95" customHeight="1" x14ac:dyDescent="0.3">
      <c r="G251">
        <v>249</v>
      </c>
      <c r="H251" s="3">
        <v>1.9889702047256649E-2</v>
      </c>
      <c r="I251" s="3">
        <v>2.7441613637636326E-2</v>
      </c>
      <c r="J251">
        <f t="shared" si="4"/>
        <v>0</v>
      </c>
    </row>
    <row r="252" spans="7:10" ht="19.95" customHeight="1" x14ac:dyDescent="0.3">
      <c r="G252">
        <v>250</v>
      </c>
      <c r="H252" s="3">
        <v>-7.4472677164404116E-2</v>
      </c>
      <c r="I252" s="3">
        <v>-3.8911476546179949E-2</v>
      </c>
      <c r="J252">
        <f t="shared" si="4"/>
        <v>0</v>
      </c>
    </row>
    <row r="253" spans="7:10" ht="19.95" customHeight="1" x14ac:dyDescent="0.3">
      <c r="G253">
        <v>251</v>
      </c>
      <c r="H253" s="3">
        <v>0.1153887788819241</v>
      </c>
      <c r="I253" s="3">
        <v>9.4618869210611037E-2</v>
      </c>
      <c r="J253">
        <f t="shared" si="4"/>
        <v>1</v>
      </c>
    </row>
    <row r="254" spans="7:10" ht="19.95" customHeight="1" x14ac:dyDescent="0.3">
      <c r="G254">
        <v>252</v>
      </c>
      <c r="H254" s="3">
        <v>8.1459062591831416E-2</v>
      </c>
      <c r="I254" s="3">
        <v>0.1549317447571201</v>
      </c>
      <c r="J254">
        <f t="shared" si="4"/>
        <v>0</v>
      </c>
    </row>
    <row r="255" spans="7:10" ht="19.95" customHeight="1" x14ac:dyDescent="0.3">
      <c r="G255">
        <v>253</v>
      </c>
      <c r="H255" s="3">
        <v>-3.3708098710207919E-2</v>
      </c>
      <c r="I255" s="3">
        <v>8.5503415243414552E-2</v>
      </c>
      <c r="J255">
        <f t="shared" si="4"/>
        <v>0</v>
      </c>
    </row>
    <row r="256" spans="7:10" ht="19.95" customHeight="1" x14ac:dyDescent="0.3">
      <c r="G256">
        <v>254</v>
      </c>
      <c r="H256" s="3">
        <v>-7.5425695427998422E-3</v>
      </c>
      <c r="I256" s="3">
        <v>9.4564000935385223E-2</v>
      </c>
      <c r="J256">
        <f t="shared" si="4"/>
        <v>0</v>
      </c>
    </row>
    <row r="257" spans="7:10" ht="19.95" customHeight="1" x14ac:dyDescent="0.3">
      <c r="G257">
        <v>255</v>
      </c>
      <c r="H257" s="3">
        <v>4.882773408393859E-2</v>
      </c>
      <c r="I257" s="3">
        <v>0.1400828500525822</v>
      </c>
      <c r="J257">
        <f t="shared" si="4"/>
        <v>0</v>
      </c>
    </row>
    <row r="258" spans="7:10" ht="19.95" customHeight="1" x14ac:dyDescent="0.3">
      <c r="G258">
        <v>256</v>
      </c>
      <c r="H258" s="3">
        <v>8.7308985558936236E-2</v>
      </c>
      <c r="I258" s="3">
        <v>0.14092628940134827</v>
      </c>
      <c r="J258">
        <f t="shared" si="4"/>
        <v>0</v>
      </c>
    </row>
    <row r="259" spans="7:10" ht="19.95" customHeight="1" x14ac:dyDescent="0.3">
      <c r="G259">
        <v>257</v>
      </c>
      <c r="H259" s="3">
        <v>-2.1691975435180533E-2</v>
      </c>
      <c r="I259" s="3">
        <v>-2.6523246015078092E-2</v>
      </c>
      <c r="J259">
        <f t="shared" si="4"/>
        <v>1</v>
      </c>
    </row>
    <row r="260" spans="7:10" ht="19.95" customHeight="1" x14ac:dyDescent="0.3">
      <c r="G260">
        <v>258</v>
      </c>
      <c r="H260" s="3">
        <v>-2.1207067963079022E-2</v>
      </c>
      <c r="I260" s="3">
        <v>3.38864201024471E-2</v>
      </c>
      <c r="J260">
        <f t="shared" ref="J260:J323" si="5">IF(H260&gt;I260,1,0)</f>
        <v>0</v>
      </c>
    </row>
    <row r="261" spans="7:10" ht="19.95" customHeight="1" x14ac:dyDescent="0.3">
      <c r="G261">
        <v>259</v>
      </c>
      <c r="H261" s="3">
        <v>5.9866723121098746E-2</v>
      </c>
      <c r="I261" s="3">
        <v>4.9627431803248592E-2</v>
      </c>
      <c r="J261">
        <f t="shared" si="5"/>
        <v>1</v>
      </c>
    </row>
    <row r="262" spans="7:10" ht="19.95" customHeight="1" x14ac:dyDescent="0.3">
      <c r="G262">
        <v>260</v>
      </c>
      <c r="H262" s="3">
        <v>0.15394680841916808</v>
      </c>
      <c r="I262" s="3">
        <v>9.4363758896134783E-2</v>
      </c>
      <c r="J262">
        <f t="shared" si="5"/>
        <v>1</v>
      </c>
    </row>
    <row r="263" spans="7:10" ht="19.95" customHeight="1" x14ac:dyDescent="0.3">
      <c r="G263">
        <v>261</v>
      </c>
      <c r="H263" s="3">
        <v>7.7509859974870116E-3</v>
      </c>
      <c r="I263" s="3">
        <v>1.4507216846865859E-2</v>
      </c>
      <c r="J263">
        <f t="shared" si="5"/>
        <v>0</v>
      </c>
    </row>
    <row r="264" spans="7:10" ht="19.95" customHeight="1" x14ac:dyDescent="0.3">
      <c r="G264">
        <v>262</v>
      </c>
      <c r="H264" s="3">
        <v>9.5799429981289541E-2</v>
      </c>
      <c r="I264" s="3">
        <v>0.19525397834248642</v>
      </c>
      <c r="J264">
        <f t="shared" si="5"/>
        <v>0</v>
      </c>
    </row>
    <row r="265" spans="7:10" ht="19.95" customHeight="1" x14ac:dyDescent="0.3">
      <c r="G265">
        <v>263</v>
      </c>
      <c r="H265" s="3">
        <v>-4.8172196869958335E-2</v>
      </c>
      <c r="I265" s="3">
        <v>-1.5198497072385766E-2</v>
      </c>
      <c r="J265">
        <f t="shared" si="5"/>
        <v>0</v>
      </c>
    </row>
    <row r="266" spans="7:10" ht="19.95" customHeight="1" x14ac:dyDescent="0.3">
      <c r="G266">
        <v>264</v>
      </c>
      <c r="H266" s="3">
        <v>2.1336296778019875E-2</v>
      </c>
      <c r="I266" s="3">
        <v>-1.8603807054936253E-2</v>
      </c>
      <c r="J266">
        <f t="shared" si="5"/>
        <v>1</v>
      </c>
    </row>
    <row r="267" spans="7:10" ht="19.95" customHeight="1" x14ac:dyDescent="0.3">
      <c r="G267">
        <v>265</v>
      </c>
      <c r="H267" s="3">
        <v>8.6248025508250822E-2</v>
      </c>
      <c r="I267" s="3">
        <v>0.10503258311191391</v>
      </c>
      <c r="J267">
        <f t="shared" si="5"/>
        <v>0</v>
      </c>
    </row>
    <row r="268" spans="7:10" ht="19.95" customHeight="1" x14ac:dyDescent="0.3">
      <c r="G268">
        <v>266</v>
      </c>
      <c r="H268" s="3">
        <v>0.12683015162606393</v>
      </c>
      <c r="I268" s="3">
        <v>-1.0831461992487116E-2</v>
      </c>
      <c r="J268">
        <f t="shared" si="5"/>
        <v>1</v>
      </c>
    </row>
    <row r="269" spans="7:10" ht="19.95" customHeight="1" x14ac:dyDescent="0.3">
      <c r="G269">
        <v>267</v>
      </c>
      <c r="H269" s="3">
        <v>3.6022360853822641E-2</v>
      </c>
      <c r="I269" s="3">
        <v>-4.2822922482261452E-2</v>
      </c>
      <c r="J269">
        <f t="shared" si="5"/>
        <v>1</v>
      </c>
    </row>
    <row r="270" spans="7:10" ht="19.95" customHeight="1" x14ac:dyDescent="0.3">
      <c r="G270">
        <v>268</v>
      </c>
      <c r="H270" s="3">
        <v>6.4959510333519793E-2</v>
      </c>
      <c r="I270" s="3">
        <v>7.1856506492513253E-2</v>
      </c>
      <c r="J270">
        <f t="shared" si="5"/>
        <v>0</v>
      </c>
    </row>
    <row r="271" spans="7:10" ht="19.95" customHeight="1" x14ac:dyDescent="0.3">
      <c r="G271">
        <v>269</v>
      </c>
      <c r="H271" s="3">
        <v>3.1671399081300886E-2</v>
      </c>
      <c r="I271" s="3">
        <v>-3.9096426818770154E-3</v>
      </c>
      <c r="J271">
        <f t="shared" si="5"/>
        <v>1</v>
      </c>
    </row>
    <row r="272" spans="7:10" ht="19.95" customHeight="1" x14ac:dyDescent="0.3">
      <c r="G272">
        <v>270</v>
      </c>
      <c r="H272" s="3">
        <v>0.12460308558268694</v>
      </c>
      <c r="I272" s="3">
        <v>3.5586648266468589E-2</v>
      </c>
      <c r="J272">
        <f t="shared" si="5"/>
        <v>1</v>
      </c>
    </row>
    <row r="273" spans="7:10" ht="19.95" customHeight="1" x14ac:dyDescent="0.3">
      <c r="G273">
        <v>271</v>
      </c>
      <c r="H273" s="3">
        <v>6.1017453392689311E-2</v>
      </c>
      <c r="I273" s="3">
        <v>-2.4890670177203388E-3</v>
      </c>
      <c r="J273">
        <f t="shared" si="5"/>
        <v>1</v>
      </c>
    </row>
    <row r="274" spans="7:10" ht="19.95" customHeight="1" x14ac:dyDescent="0.3">
      <c r="G274">
        <v>272</v>
      </c>
      <c r="H274" s="3">
        <v>1.8540935061860254E-2</v>
      </c>
      <c r="I274" s="3">
        <v>-1.7936474873303649E-2</v>
      </c>
      <c r="J274">
        <f t="shared" si="5"/>
        <v>1</v>
      </c>
    </row>
    <row r="275" spans="7:10" ht="19.95" customHeight="1" x14ac:dyDescent="0.3">
      <c r="G275">
        <v>273</v>
      </c>
      <c r="H275" s="3">
        <v>0.2334035456846888</v>
      </c>
      <c r="I275" s="3">
        <v>0.26043652692927982</v>
      </c>
      <c r="J275">
        <f t="shared" si="5"/>
        <v>0</v>
      </c>
    </row>
    <row r="276" spans="7:10" ht="19.95" customHeight="1" x14ac:dyDescent="0.3">
      <c r="G276">
        <v>274</v>
      </c>
      <c r="H276" s="3">
        <v>-8.9554606945516681E-3</v>
      </c>
      <c r="I276" s="3">
        <v>-3.2974183149645266E-2</v>
      </c>
      <c r="J276">
        <f t="shared" si="5"/>
        <v>1</v>
      </c>
    </row>
    <row r="277" spans="7:10" ht="19.95" customHeight="1" x14ac:dyDescent="0.3">
      <c r="G277">
        <v>275</v>
      </c>
      <c r="H277" s="3">
        <v>4.1447887092023614E-2</v>
      </c>
      <c r="I277" s="3">
        <v>2.0436285284785367E-2</v>
      </c>
      <c r="J277">
        <f t="shared" si="5"/>
        <v>1</v>
      </c>
    </row>
    <row r="278" spans="7:10" ht="19.95" customHeight="1" x14ac:dyDescent="0.3">
      <c r="G278">
        <v>276</v>
      </c>
      <c r="H278" s="3">
        <v>7.3420623088274115E-2</v>
      </c>
      <c r="I278" s="3">
        <v>0.15761165362930335</v>
      </c>
      <c r="J278">
        <f t="shared" si="5"/>
        <v>0</v>
      </c>
    </row>
    <row r="279" spans="7:10" ht="19.95" customHeight="1" x14ac:dyDescent="0.3">
      <c r="G279">
        <v>277</v>
      </c>
      <c r="H279" s="3">
        <v>-0.18913331340847989</v>
      </c>
      <c r="I279" s="3">
        <v>-0.1001366640167816</v>
      </c>
      <c r="J279">
        <f t="shared" si="5"/>
        <v>0</v>
      </c>
    </row>
    <row r="280" spans="7:10" ht="19.95" customHeight="1" x14ac:dyDescent="0.3">
      <c r="G280">
        <v>278</v>
      </c>
      <c r="H280" s="3">
        <v>0.14330097356905677</v>
      </c>
      <c r="I280" s="3">
        <v>0.19632078956304599</v>
      </c>
      <c r="J280">
        <f t="shared" si="5"/>
        <v>0</v>
      </c>
    </row>
    <row r="281" spans="7:10" ht="19.95" customHeight="1" x14ac:dyDescent="0.3">
      <c r="G281">
        <v>279</v>
      </c>
      <c r="H281" s="3">
        <v>0.10381341985946008</v>
      </c>
      <c r="I281" s="3">
        <v>8.3201147076830018E-2</v>
      </c>
      <c r="J281">
        <f t="shared" si="5"/>
        <v>1</v>
      </c>
    </row>
    <row r="282" spans="7:10" ht="19.95" customHeight="1" x14ac:dyDescent="0.3">
      <c r="G282">
        <v>280</v>
      </c>
      <c r="H282" s="3">
        <v>-0.17784940386313275</v>
      </c>
      <c r="I282" s="3">
        <v>-8.2758049374630771E-2</v>
      </c>
      <c r="J282">
        <f t="shared" si="5"/>
        <v>0</v>
      </c>
    </row>
    <row r="283" spans="7:10" ht="19.95" customHeight="1" x14ac:dyDescent="0.3">
      <c r="G283">
        <v>281</v>
      </c>
      <c r="H283" s="3">
        <v>-0.11647087394106814</v>
      </c>
      <c r="I283" s="3">
        <v>-3.1077513408180962E-2</v>
      </c>
      <c r="J283">
        <f t="shared" si="5"/>
        <v>0</v>
      </c>
    </row>
    <row r="284" spans="7:10" ht="19.95" customHeight="1" x14ac:dyDescent="0.3">
      <c r="G284">
        <v>282</v>
      </c>
      <c r="H284" s="3">
        <v>0.10946728477345423</v>
      </c>
      <c r="I284" s="3">
        <v>5.0594407531181884E-2</v>
      </c>
      <c r="J284">
        <f t="shared" si="5"/>
        <v>1</v>
      </c>
    </row>
    <row r="285" spans="7:10" ht="19.95" customHeight="1" x14ac:dyDescent="0.3">
      <c r="G285">
        <v>283</v>
      </c>
      <c r="H285" s="3">
        <v>0.10039481675902481</v>
      </c>
      <c r="I285" s="3">
        <v>0.10150106173568596</v>
      </c>
      <c r="J285">
        <f t="shared" si="5"/>
        <v>0</v>
      </c>
    </row>
    <row r="286" spans="7:10" ht="19.95" customHeight="1" x14ac:dyDescent="0.3">
      <c r="G286">
        <v>284</v>
      </c>
      <c r="H286" s="3">
        <v>0.15811836627313397</v>
      </c>
      <c r="I286" s="3">
        <v>0.12065435462424991</v>
      </c>
      <c r="J286">
        <f t="shared" si="5"/>
        <v>1</v>
      </c>
    </row>
    <row r="287" spans="7:10" ht="19.95" customHeight="1" x14ac:dyDescent="0.3">
      <c r="G287">
        <v>285</v>
      </c>
      <c r="H287" s="3">
        <v>0.13753114151174722</v>
      </c>
      <c r="I287" s="3">
        <v>9.266477400651596E-2</v>
      </c>
      <c r="J287">
        <f t="shared" si="5"/>
        <v>1</v>
      </c>
    </row>
    <row r="288" spans="7:10" ht="19.95" customHeight="1" x14ac:dyDescent="0.3">
      <c r="G288">
        <v>286</v>
      </c>
      <c r="H288" s="3">
        <v>7.7284404980189139E-2</v>
      </c>
      <c r="I288" s="3">
        <v>0.14610386348988602</v>
      </c>
      <c r="J288">
        <f t="shared" si="5"/>
        <v>0</v>
      </c>
    </row>
    <row r="289" spans="7:10" ht="19.95" customHeight="1" x14ac:dyDescent="0.3">
      <c r="G289">
        <v>287</v>
      </c>
      <c r="H289" s="3">
        <v>-7.2970209396141947E-2</v>
      </c>
      <c r="I289" s="3">
        <v>-5.9929103667183181E-2</v>
      </c>
      <c r="J289">
        <f t="shared" si="5"/>
        <v>0</v>
      </c>
    </row>
    <row r="290" spans="7:10" ht="19.95" customHeight="1" x14ac:dyDescent="0.3">
      <c r="G290">
        <v>288</v>
      </c>
      <c r="H290" s="3">
        <v>-0.11491528689672639</v>
      </c>
      <c r="I290" s="3">
        <v>-8.3691537381652026E-2</v>
      </c>
      <c r="J290">
        <f t="shared" si="5"/>
        <v>0</v>
      </c>
    </row>
    <row r="291" spans="7:10" ht="19.95" customHeight="1" x14ac:dyDescent="0.3">
      <c r="G291">
        <v>289</v>
      </c>
      <c r="H291" s="3">
        <v>0.14984168353817803</v>
      </c>
      <c r="I291" s="3">
        <v>0.14503930777247018</v>
      </c>
      <c r="J291">
        <f t="shared" si="5"/>
        <v>1</v>
      </c>
    </row>
    <row r="292" spans="7:10" ht="19.95" customHeight="1" x14ac:dyDescent="0.3">
      <c r="G292">
        <v>290</v>
      </c>
      <c r="H292" s="3">
        <v>0.12099060214498213</v>
      </c>
      <c r="I292" s="3">
        <v>7.4664816447408522E-2</v>
      </c>
      <c r="J292">
        <f t="shared" si="5"/>
        <v>1</v>
      </c>
    </row>
    <row r="293" spans="7:10" ht="19.95" customHeight="1" x14ac:dyDescent="0.3">
      <c r="G293">
        <v>291</v>
      </c>
      <c r="H293" s="3">
        <v>0.10427257373856891</v>
      </c>
      <c r="I293" s="3">
        <v>8.9644842744756689E-2</v>
      </c>
      <c r="J293">
        <f t="shared" si="5"/>
        <v>1</v>
      </c>
    </row>
    <row r="294" spans="7:10" ht="19.95" customHeight="1" x14ac:dyDescent="0.3">
      <c r="G294">
        <v>292</v>
      </c>
      <c r="H294" s="3">
        <v>-8.0149580908130361E-2</v>
      </c>
      <c r="I294" s="3">
        <v>-9.0902901972088265E-2</v>
      </c>
      <c r="J294">
        <f t="shared" si="5"/>
        <v>1</v>
      </c>
    </row>
    <row r="295" spans="7:10" ht="19.95" customHeight="1" x14ac:dyDescent="0.3">
      <c r="G295">
        <v>293</v>
      </c>
      <c r="H295" s="3">
        <v>6.854192526342863E-2</v>
      </c>
      <c r="I295" s="3">
        <v>0.14023566080813687</v>
      </c>
      <c r="J295">
        <f t="shared" si="5"/>
        <v>0</v>
      </c>
    </row>
    <row r="296" spans="7:10" ht="19.95" customHeight="1" x14ac:dyDescent="0.3">
      <c r="G296">
        <v>294</v>
      </c>
      <c r="H296" s="3">
        <v>0.10427783452233695</v>
      </c>
      <c r="I296" s="3">
        <v>0.12423407562121552</v>
      </c>
      <c r="J296">
        <f t="shared" si="5"/>
        <v>0</v>
      </c>
    </row>
    <row r="297" spans="7:10" ht="19.95" customHeight="1" x14ac:dyDescent="0.3">
      <c r="G297">
        <v>295</v>
      </c>
      <c r="H297" s="3">
        <v>-3.0116326815462294E-2</v>
      </c>
      <c r="I297" s="3">
        <v>-7.5704473789402177E-2</v>
      </c>
      <c r="J297">
        <f t="shared" si="5"/>
        <v>1</v>
      </c>
    </row>
    <row r="298" spans="7:10" ht="19.95" customHeight="1" x14ac:dyDescent="0.3">
      <c r="G298">
        <v>296</v>
      </c>
      <c r="H298" s="3">
        <v>5.5310507094891014E-2</v>
      </c>
      <c r="I298" s="3">
        <v>3.0702370584611144E-2</v>
      </c>
      <c r="J298">
        <f t="shared" si="5"/>
        <v>1</v>
      </c>
    </row>
    <row r="299" spans="7:10" ht="19.95" customHeight="1" x14ac:dyDescent="0.3">
      <c r="G299">
        <v>297</v>
      </c>
      <c r="H299" s="3">
        <v>3.907142732343228E-2</v>
      </c>
      <c r="I299" s="3">
        <v>6.0903192553873796E-2</v>
      </c>
      <c r="J299">
        <f t="shared" si="5"/>
        <v>0</v>
      </c>
    </row>
    <row r="300" spans="7:10" ht="19.95" customHeight="1" x14ac:dyDescent="0.3">
      <c r="G300">
        <v>298</v>
      </c>
      <c r="H300" s="3">
        <v>-2.0890216687037489E-2</v>
      </c>
      <c r="I300" s="3">
        <v>-7.884090068210961E-2</v>
      </c>
      <c r="J300">
        <f t="shared" si="5"/>
        <v>1</v>
      </c>
    </row>
    <row r="301" spans="7:10" ht="19.95" customHeight="1" x14ac:dyDescent="0.3">
      <c r="G301">
        <v>299</v>
      </c>
      <c r="H301" s="3">
        <v>-7.1705617231025601E-2</v>
      </c>
      <c r="I301" s="3">
        <v>1.9420775469207181E-2</v>
      </c>
      <c r="J301">
        <f t="shared" si="5"/>
        <v>0</v>
      </c>
    </row>
    <row r="302" spans="7:10" ht="19.95" customHeight="1" x14ac:dyDescent="0.3">
      <c r="G302">
        <v>300</v>
      </c>
      <c r="H302" s="3">
        <v>-0.12262823128608386</v>
      </c>
      <c r="I302" s="3">
        <v>-0.11286920166771451</v>
      </c>
      <c r="J302">
        <f t="shared" si="5"/>
        <v>0</v>
      </c>
    </row>
    <row r="303" spans="7:10" ht="19.95" customHeight="1" x14ac:dyDescent="0.3">
      <c r="G303">
        <v>301</v>
      </c>
      <c r="H303" s="3">
        <v>8.0895543070772361E-2</v>
      </c>
      <c r="I303" s="3">
        <v>-4.7412506950442537E-2</v>
      </c>
      <c r="J303">
        <f t="shared" si="5"/>
        <v>1</v>
      </c>
    </row>
    <row r="304" spans="7:10" ht="19.95" customHeight="1" x14ac:dyDescent="0.3">
      <c r="G304">
        <v>302</v>
      </c>
      <c r="H304" s="3">
        <v>4.5305882917973342E-2</v>
      </c>
      <c r="I304" s="3">
        <v>7.185169979224508E-2</v>
      </c>
      <c r="J304">
        <f t="shared" si="5"/>
        <v>0</v>
      </c>
    </row>
    <row r="305" spans="7:10" ht="19.95" customHeight="1" x14ac:dyDescent="0.3">
      <c r="G305">
        <v>303</v>
      </c>
      <c r="H305" s="3">
        <v>4.8677105401839664E-2</v>
      </c>
      <c r="I305" s="3">
        <v>2.5787061628415715E-2</v>
      </c>
      <c r="J305">
        <f t="shared" si="5"/>
        <v>1</v>
      </c>
    </row>
    <row r="306" spans="7:10" ht="19.95" customHeight="1" x14ac:dyDescent="0.3">
      <c r="G306">
        <v>304</v>
      </c>
      <c r="H306" s="3">
        <v>-9.4697249427915606E-3</v>
      </c>
      <c r="I306" s="3">
        <v>1.9120296836138369E-2</v>
      </c>
      <c r="J306">
        <f t="shared" si="5"/>
        <v>0</v>
      </c>
    </row>
    <row r="307" spans="7:10" ht="19.95" customHeight="1" x14ac:dyDescent="0.3">
      <c r="G307">
        <v>305</v>
      </c>
      <c r="H307" s="3">
        <v>4.7522694308957801E-2</v>
      </c>
      <c r="I307" s="3">
        <v>0.20418227015897858</v>
      </c>
      <c r="J307">
        <f t="shared" si="5"/>
        <v>0</v>
      </c>
    </row>
    <row r="308" spans="7:10" ht="19.95" customHeight="1" x14ac:dyDescent="0.3">
      <c r="G308">
        <v>306</v>
      </c>
      <c r="H308" s="3">
        <v>4.4354739328286728E-2</v>
      </c>
      <c r="I308" s="3">
        <v>6.8281349357350446E-2</v>
      </c>
      <c r="J308">
        <f t="shared" si="5"/>
        <v>0</v>
      </c>
    </row>
    <row r="309" spans="7:10" ht="19.95" customHeight="1" x14ac:dyDescent="0.3">
      <c r="G309">
        <v>307</v>
      </c>
      <c r="H309" s="3">
        <v>4.120957198846447E-2</v>
      </c>
      <c r="I309" s="3">
        <v>5.9856584335303636E-2</v>
      </c>
      <c r="J309">
        <f t="shared" si="5"/>
        <v>0</v>
      </c>
    </row>
    <row r="310" spans="7:10" ht="19.95" customHeight="1" x14ac:dyDescent="0.3">
      <c r="G310">
        <v>308</v>
      </c>
      <c r="H310" s="3">
        <v>6.2411923030082986E-2</v>
      </c>
      <c r="I310" s="3">
        <v>1.4829022626408849E-2</v>
      </c>
      <c r="J310">
        <f t="shared" si="5"/>
        <v>1</v>
      </c>
    </row>
    <row r="311" spans="7:10" ht="19.95" customHeight="1" x14ac:dyDescent="0.3">
      <c r="G311">
        <v>309</v>
      </c>
      <c r="H311" s="3">
        <v>-2.5037087768135964E-2</v>
      </c>
      <c r="I311" s="3">
        <v>1.4442560297212585E-2</v>
      </c>
      <c r="J311">
        <f t="shared" si="5"/>
        <v>0</v>
      </c>
    </row>
    <row r="312" spans="7:10" ht="19.95" customHeight="1" x14ac:dyDescent="0.3">
      <c r="G312">
        <v>310</v>
      </c>
      <c r="H312" s="3">
        <v>0.21826820707809216</v>
      </c>
      <c r="I312" s="3">
        <v>0.1634468741787003</v>
      </c>
      <c r="J312">
        <f t="shared" si="5"/>
        <v>1</v>
      </c>
    </row>
    <row r="313" spans="7:10" ht="19.95" customHeight="1" x14ac:dyDescent="0.3">
      <c r="G313">
        <v>311</v>
      </c>
      <c r="H313" s="3">
        <v>5.0801480706370819E-2</v>
      </c>
      <c r="I313" s="3">
        <v>8.7650339394584248E-2</v>
      </c>
      <c r="J313">
        <f t="shared" si="5"/>
        <v>0</v>
      </c>
    </row>
    <row r="314" spans="7:10" ht="19.95" customHeight="1" x14ac:dyDescent="0.3">
      <c r="G314">
        <v>312</v>
      </c>
      <c r="H314" s="3">
        <v>-0.17832602032971823</v>
      </c>
      <c r="I314" s="3">
        <v>-0.23524126269131487</v>
      </c>
      <c r="J314">
        <f t="shared" si="5"/>
        <v>1</v>
      </c>
    </row>
    <row r="315" spans="7:10" ht="19.95" customHeight="1" x14ac:dyDescent="0.3">
      <c r="G315">
        <v>313</v>
      </c>
      <c r="H315" s="3">
        <v>0.17490213445647607</v>
      </c>
      <c r="I315" s="3">
        <v>0.16180166113927746</v>
      </c>
      <c r="J315">
        <f t="shared" si="5"/>
        <v>1</v>
      </c>
    </row>
    <row r="316" spans="7:10" ht="19.95" customHeight="1" x14ac:dyDescent="0.3">
      <c r="G316">
        <v>314</v>
      </c>
      <c r="H316" s="3">
        <v>4.1496217737770208E-3</v>
      </c>
      <c r="I316" s="3">
        <v>4.0711435603490331E-2</v>
      </c>
      <c r="J316">
        <f t="shared" si="5"/>
        <v>0</v>
      </c>
    </row>
    <row r="317" spans="7:10" ht="19.95" customHeight="1" x14ac:dyDescent="0.3">
      <c r="G317">
        <v>315</v>
      </c>
      <c r="H317" s="3">
        <v>-0.10969908626829714</v>
      </c>
      <c r="I317" s="3">
        <v>-0.11224043158456046</v>
      </c>
      <c r="J317">
        <f t="shared" si="5"/>
        <v>1</v>
      </c>
    </row>
    <row r="318" spans="7:10" ht="19.95" customHeight="1" x14ac:dyDescent="0.3">
      <c r="G318">
        <v>316</v>
      </c>
      <c r="H318" s="3">
        <v>0.23947599078629023</v>
      </c>
      <c r="I318" s="3">
        <v>0.17090862034461279</v>
      </c>
      <c r="J318">
        <f t="shared" si="5"/>
        <v>1</v>
      </c>
    </row>
    <row r="319" spans="7:10" ht="19.95" customHeight="1" x14ac:dyDescent="0.3">
      <c r="G319">
        <v>317</v>
      </c>
      <c r="H319" s="3">
        <v>-1.8745320022923579E-2</v>
      </c>
      <c r="I319" s="3">
        <v>-4.7850363901787499E-2</v>
      </c>
      <c r="J319">
        <f t="shared" si="5"/>
        <v>1</v>
      </c>
    </row>
    <row r="320" spans="7:10" ht="19.95" customHeight="1" x14ac:dyDescent="0.3">
      <c r="G320">
        <v>318</v>
      </c>
      <c r="H320" s="3">
        <v>0.10957940554688236</v>
      </c>
      <c r="I320" s="3">
        <v>6.7238986139887671E-2</v>
      </c>
      <c r="J320">
        <f t="shared" si="5"/>
        <v>1</v>
      </c>
    </row>
    <row r="321" spans="7:10" ht="19.95" customHeight="1" x14ac:dyDescent="0.3">
      <c r="G321">
        <v>319</v>
      </c>
      <c r="H321" s="3">
        <v>3.6981247578169812E-2</v>
      </c>
      <c r="I321" s="3">
        <v>5.9007185206087429E-2</v>
      </c>
      <c r="J321">
        <f t="shared" si="5"/>
        <v>0</v>
      </c>
    </row>
    <row r="322" spans="7:10" ht="19.95" customHeight="1" x14ac:dyDescent="0.3">
      <c r="G322">
        <v>320</v>
      </c>
      <c r="H322" s="3">
        <v>-4.4159306374393699E-2</v>
      </c>
      <c r="I322" s="3">
        <v>-4.3063932682239375E-2</v>
      </c>
      <c r="J322">
        <f t="shared" si="5"/>
        <v>0</v>
      </c>
    </row>
    <row r="323" spans="7:10" ht="19.95" customHeight="1" x14ac:dyDescent="0.3">
      <c r="G323">
        <v>321</v>
      </c>
      <c r="H323" s="3">
        <v>8.7724734134149412E-2</v>
      </c>
      <c r="I323" s="3">
        <v>-3.0141686105763957E-4</v>
      </c>
      <c r="J323">
        <f t="shared" si="5"/>
        <v>1</v>
      </c>
    </row>
    <row r="324" spans="7:10" ht="19.95" customHeight="1" x14ac:dyDescent="0.3">
      <c r="G324">
        <v>322</v>
      </c>
      <c r="H324" s="3">
        <v>0.10526104413759768</v>
      </c>
      <c r="I324" s="3">
        <v>2.4274594940346204E-2</v>
      </c>
      <c r="J324">
        <f t="shared" ref="J324:J387" si="6">IF(H324&gt;I324,1,0)</f>
        <v>1</v>
      </c>
    </row>
    <row r="325" spans="7:10" ht="19.95" customHeight="1" x14ac:dyDescent="0.3">
      <c r="G325">
        <v>323</v>
      </c>
      <c r="H325" s="3">
        <v>1.4344813847180365E-2</v>
      </c>
      <c r="I325" s="3">
        <v>1.9952160809189018E-2</v>
      </c>
      <c r="J325">
        <f t="shared" si="6"/>
        <v>0</v>
      </c>
    </row>
    <row r="326" spans="7:10" ht="19.95" customHeight="1" x14ac:dyDescent="0.3">
      <c r="G326">
        <v>324</v>
      </c>
      <c r="H326" s="3">
        <v>7.3852710574533784E-2</v>
      </c>
      <c r="I326" s="3">
        <v>7.3781908693371923E-2</v>
      </c>
      <c r="J326">
        <f t="shared" si="6"/>
        <v>1</v>
      </c>
    </row>
    <row r="327" spans="7:10" ht="19.95" customHeight="1" x14ac:dyDescent="0.3">
      <c r="G327">
        <v>325</v>
      </c>
      <c r="H327" s="3">
        <v>-6.6268143126560312E-3</v>
      </c>
      <c r="I327" s="3">
        <v>-5.3395734131336692E-2</v>
      </c>
      <c r="J327">
        <f t="shared" si="6"/>
        <v>1</v>
      </c>
    </row>
    <row r="328" spans="7:10" ht="19.95" customHeight="1" x14ac:dyDescent="0.3">
      <c r="G328">
        <v>326</v>
      </c>
      <c r="H328" s="3">
        <v>1.2221527388838693E-2</v>
      </c>
      <c r="I328" s="3">
        <v>-7.2501074623011318E-3</v>
      </c>
      <c r="J328">
        <f t="shared" si="6"/>
        <v>1</v>
      </c>
    </row>
    <row r="329" spans="7:10" ht="19.95" customHeight="1" x14ac:dyDescent="0.3">
      <c r="G329">
        <v>327</v>
      </c>
      <c r="H329" s="3">
        <v>-0.10813369912807824</v>
      </c>
      <c r="I329" s="3">
        <v>-0.14407953415089059</v>
      </c>
      <c r="J329">
        <f t="shared" si="6"/>
        <v>1</v>
      </c>
    </row>
    <row r="330" spans="7:10" ht="19.95" customHeight="1" x14ac:dyDescent="0.3">
      <c r="G330">
        <v>328</v>
      </c>
      <c r="H330" s="3">
        <v>0.19851643874506708</v>
      </c>
      <c r="I330" s="3">
        <v>0.10546758370453542</v>
      </c>
      <c r="J330">
        <f t="shared" si="6"/>
        <v>1</v>
      </c>
    </row>
    <row r="331" spans="7:10" ht="19.95" customHeight="1" x14ac:dyDescent="0.3">
      <c r="G331">
        <v>329</v>
      </c>
      <c r="H331" s="3">
        <v>-2.3152951558805777E-2</v>
      </c>
      <c r="I331" s="3">
        <v>9.6893387243652367E-3</v>
      </c>
      <c r="J331">
        <f t="shared" si="6"/>
        <v>0</v>
      </c>
    </row>
    <row r="332" spans="7:10" ht="19.95" customHeight="1" x14ac:dyDescent="0.3">
      <c r="G332">
        <v>330</v>
      </c>
      <c r="H332" s="3">
        <v>0.12372509968276418</v>
      </c>
      <c r="I332" s="3">
        <v>0.1291887412798281</v>
      </c>
      <c r="J332">
        <f t="shared" si="6"/>
        <v>0</v>
      </c>
    </row>
    <row r="333" spans="7:10" ht="19.95" customHeight="1" x14ac:dyDescent="0.3">
      <c r="G333">
        <v>331</v>
      </c>
      <c r="H333" s="3">
        <v>6.704292569853626E-2</v>
      </c>
      <c r="I333" s="3">
        <v>8.6099282962086937E-2</v>
      </c>
      <c r="J333">
        <f t="shared" si="6"/>
        <v>0</v>
      </c>
    </row>
    <row r="334" spans="7:10" ht="19.95" customHeight="1" x14ac:dyDescent="0.3">
      <c r="G334">
        <v>332</v>
      </c>
      <c r="H334" s="3">
        <v>-0.15037910848107652</v>
      </c>
      <c r="I334" s="3">
        <v>7.9291275965247994E-3</v>
      </c>
      <c r="J334">
        <f t="shared" si="6"/>
        <v>0</v>
      </c>
    </row>
    <row r="335" spans="7:10" ht="19.95" customHeight="1" x14ac:dyDescent="0.3">
      <c r="G335">
        <v>333</v>
      </c>
      <c r="H335" s="3">
        <v>0.12468894212105067</v>
      </c>
      <c r="I335" s="3">
        <v>0.23722409198745742</v>
      </c>
      <c r="J335">
        <f t="shared" si="6"/>
        <v>0</v>
      </c>
    </row>
    <row r="336" spans="7:10" ht="19.95" customHeight="1" x14ac:dyDescent="0.3">
      <c r="G336">
        <v>334</v>
      </c>
      <c r="H336" s="3">
        <v>5.9410298137544802E-2</v>
      </c>
      <c r="I336" s="3">
        <v>3.5295502997378561E-2</v>
      </c>
      <c r="J336">
        <f t="shared" si="6"/>
        <v>1</v>
      </c>
    </row>
    <row r="337" spans="7:10" ht="19.95" customHeight="1" x14ac:dyDescent="0.3">
      <c r="G337">
        <v>335</v>
      </c>
      <c r="H337" s="3">
        <v>3.9987802538002673E-2</v>
      </c>
      <c r="I337" s="3">
        <v>6.0201577422373122E-2</v>
      </c>
      <c r="J337">
        <f t="shared" si="6"/>
        <v>0</v>
      </c>
    </row>
    <row r="338" spans="7:10" ht="19.95" customHeight="1" x14ac:dyDescent="0.3">
      <c r="G338">
        <v>336</v>
      </c>
      <c r="H338" s="3">
        <v>3.5817424705775827E-2</v>
      </c>
      <c r="I338" s="3">
        <v>0.14032590108637324</v>
      </c>
      <c r="J338">
        <f t="shared" si="6"/>
        <v>0</v>
      </c>
    </row>
    <row r="339" spans="7:10" ht="19.95" customHeight="1" x14ac:dyDescent="0.3">
      <c r="G339">
        <v>337</v>
      </c>
      <c r="H339" s="3">
        <v>0.13583137633692391</v>
      </c>
      <c r="I339" s="3">
        <v>9.8824118728437424E-2</v>
      </c>
      <c r="J339">
        <f t="shared" si="6"/>
        <v>1</v>
      </c>
    </row>
    <row r="340" spans="7:10" ht="19.95" customHeight="1" x14ac:dyDescent="0.3">
      <c r="G340">
        <v>338</v>
      </c>
      <c r="H340" s="3">
        <v>0.12108326089253681</v>
      </c>
      <c r="I340" s="3">
        <v>6.3221259093252158E-2</v>
      </c>
      <c r="J340">
        <f t="shared" si="6"/>
        <v>1</v>
      </c>
    </row>
    <row r="341" spans="7:10" ht="19.95" customHeight="1" x14ac:dyDescent="0.3">
      <c r="G341">
        <v>339</v>
      </c>
      <c r="H341" s="3">
        <v>5.4306296163192637E-2</v>
      </c>
      <c r="I341" s="3">
        <v>0.11755401507009428</v>
      </c>
      <c r="J341">
        <f t="shared" si="6"/>
        <v>0</v>
      </c>
    </row>
    <row r="342" spans="7:10" ht="19.95" customHeight="1" x14ac:dyDescent="0.3">
      <c r="G342">
        <v>340</v>
      </c>
      <c r="H342" s="3">
        <v>3.9685264579624093E-3</v>
      </c>
      <c r="I342" s="3">
        <v>-0.14447605722989645</v>
      </c>
      <c r="J342">
        <f t="shared" si="6"/>
        <v>1</v>
      </c>
    </row>
    <row r="343" spans="7:10" ht="19.95" customHeight="1" x14ac:dyDescent="0.3">
      <c r="G343">
        <v>341</v>
      </c>
      <c r="H343" s="3">
        <v>0.14218723223155477</v>
      </c>
      <c r="I343" s="3">
        <v>0.14714458564748961</v>
      </c>
      <c r="J343">
        <f t="shared" si="6"/>
        <v>0</v>
      </c>
    </row>
    <row r="344" spans="7:10" ht="19.95" customHeight="1" x14ac:dyDescent="0.3">
      <c r="G344">
        <v>342</v>
      </c>
      <c r="H344" s="3">
        <v>6.9558177295811929E-2</v>
      </c>
      <c r="I344" s="3">
        <v>-5.7110605770955725E-2</v>
      </c>
      <c r="J344">
        <f t="shared" si="6"/>
        <v>1</v>
      </c>
    </row>
    <row r="345" spans="7:10" ht="19.95" customHeight="1" x14ac:dyDescent="0.3">
      <c r="G345">
        <v>343</v>
      </c>
      <c r="H345" s="3">
        <v>0.16931351306573869</v>
      </c>
      <c r="I345" s="3">
        <v>0.18844028599045812</v>
      </c>
      <c r="J345">
        <f t="shared" si="6"/>
        <v>0</v>
      </c>
    </row>
    <row r="346" spans="7:10" ht="19.95" customHeight="1" x14ac:dyDescent="0.3">
      <c r="G346">
        <v>344</v>
      </c>
      <c r="H346" s="3">
        <v>9.4885156700974277E-2</v>
      </c>
      <c r="I346" s="3">
        <v>-8.7270213684132042E-3</v>
      </c>
      <c r="J346">
        <f t="shared" si="6"/>
        <v>1</v>
      </c>
    </row>
    <row r="347" spans="7:10" ht="19.95" customHeight="1" x14ac:dyDescent="0.3">
      <c r="G347">
        <v>345</v>
      </c>
      <c r="H347" s="3">
        <v>-0.15037500655490857</v>
      </c>
      <c r="I347" s="3">
        <v>-2.4801573387892292E-2</v>
      </c>
      <c r="J347">
        <f t="shared" si="6"/>
        <v>0</v>
      </c>
    </row>
    <row r="348" spans="7:10" ht="19.95" customHeight="1" x14ac:dyDescent="0.3">
      <c r="G348">
        <v>346</v>
      </c>
      <c r="H348" s="3">
        <v>0.17711693769077813</v>
      </c>
      <c r="I348" s="3">
        <v>0.17819282284311488</v>
      </c>
      <c r="J348">
        <f t="shared" si="6"/>
        <v>0</v>
      </c>
    </row>
    <row r="349" spans="7:10" ht="19.95" customHeight="1" x14ac:dyDescent="0.3">
      <c r="G349">
        <v>347</v>
      </c>
      <c r="H349" s="3">
        <v>-2.3594653523064384E-2</v>
      </c>
      <c r="I349" s="3">
        <v>-4.6742462827291994E-4</v>
      </c>
      <c r="J349">
        <f t="shared" si="6"/>
        <v>0</v>
      </c>
    </row>
    <row r="350" spans="7:10" ht="19.95" customHeight="1" x14ac:dyDescent="0.3">
      <c r="G350">
        <v>348</v>
      </c>
      <c r="H350" s="3">
        <v>9.8647792349182806E-2</v>
      </c>
      <c r="I350" s="3">
        <v>7.173980036903696E-2</v>
      </c>
      <c r="J350">
        <f t="shared" si="6"/>
        <v>1</v>
      </c>
    </row>
    <row r="351" spans="7:10" ht="19.95" customHeight="1" x14ac:dyDescent="0.3">
      <c r="G351">
        <v>349</v>
      </c>
      <c r="H351" s="3">
        <v>0.10670023735311496</v>
      </c>
      <c r="I351" s="3">
        <v>2.4794192476370453E-2</v>
      </c>
      <c r="J351">
        <f t="shared" si="6"/>
        <v>1</v>
      </c>
    </row>
    <row r="352" spans="7:10" ht="19.95" customHeight="1" x14ac:dyDescent="0.3">
      <c r="G352">
        <v>350</v>
      </c>
      <c r="H352" s="3">
        <v>1.7121491811121801E-2</v>
      </c>
      <c r="I352" s="3">
        <v>-2.6741262120028992E-2</v>
      </c>
      <c r="J352">
        <f t="shared" si="6"/>
        <v>1</v>
      </c>
    </row>
    <row r="353" spans="7:10" ht="19.95" customHeight="1" x14ac:dyDescent="0.3">
      <c r="G353">
        <v>351</v>
      </c>
      <c r="H353" s="3">
        <v>8.9039595391423754E-2</v>
      </c>
      <c r="I353" s="3">
        <v>6.9743763868753694E-2</v>
      </c>
      <c r="J353">
        <f t="shared" si="6"/>
        <v>1</v>
      </c>
    </row>
    <row r="354" spans="7:10" ht="19.95" customHeight="1" x14ac:dyDescent="0.3">
      <c r="G354">
        <v>352</v>
      </c>
      <c r="H354" s="3">
        <v>0.18181622028132777</v>
      </c>
      <c r="I354" s="3">
        <v>0.16024205953997137</v>
      </c>
      <c r="J354">
        <f t="shared" si="6"/>
        <v>1</v>
      </c>
    </row>
    <row r="355" spans="7:10" ht="19.95" customHeight="1" x14ac:dyDescent="0.3">
      <c r="G355">
        <v>353</v>
      </c>
      <c r="H355" s="3">
        <v>0.12186667010675857</v>
      </c>
      <c r="I355" s="3">
        <v>0.11885128869347775</v>
      </c>
      <c r="J355">
        <f t="shared" si="6"/>
        <v>1</v>
      </c>
    </row>
    <row r="356" spans="7:10" ht="19.95" customHeight="1" x14ac:dyDescent="0.3">
      <c r="G356">
        <v>354</v>
      </c>
      <c r="H356" s="3">
        <v>-4.9773853371157589E-3</v>
      </c>
      <c r="I356" s="3">
        <v>-9.3559942281447629E-3</v>
      </c>
      <c r="J356">
        <f t="shared" si="6"/>
        <v>1</v>
      </c>
    </row>
    <row r="357" spans="7:10" ht="19.95" customHeight="1" x14ac:dyDescent="0.3">
      <c r="G357">
        <v>355</v>
      </c>
      <c r="H357" s="3">
        <v>0.24118443398209188</v>
      </c>
      <c r="I357" s="3">
        <v>0.26704087785836045</v>
      </c>
      <c r="J357">
        <f t="shared" si="6"/>
        <v>0</v>
      </c>
    </row>
    <row r="358" spans="7:10" ht="19.95" customHeight="1" x14ac:dyDescent="0.3">
      <c r="G358">
        <v>356</v>
      </c>
      <c r="H358" s="3">
        <v>0.14801784068678334</v>
      </c>
      <c r="I358" s="3">
        <v>0.13347688088784657</v>
      </c>
      <c r="J358">
        <f t="shared" si="6"/>
        <v>1</v>
      </c>
    </row>
    <row r="359" spans="7:10" ht="19.95" customHeight="1" x14ac:dyDescent="0.3">
      <c r="G359">
        <v>357</v>
      </c>
      <c r="H359" s="3">
        <v>3.878461662572176E-2</v>
      </c>
      <c r="I359" s="3">
        <v>0.12726345549440513</v>
      </c>
      <c r="J359">
        <f t="shared" si="6"/>
        <v>0</v>
      </c>
    </row>
    <row r="360" spans="7:10" ht="19.95" customHeight="1" x14ac:dyDescent="0.3">
      <c r="G360">
        <v>358</v>
      </c>
      <c r="H360" s="3">
        <v>-0.24365341569161297</v>
      </c>
      <c r="I360" s="3">
        <v>-0.11145248995585486</v>
      </c>
      <c r="J360">
        <f t="shared" si="6"/>
        <v>0</v>
      </c>
    </row>
    <row r="361" spans="7:10" ht="19.95" customHeight="1" x14ac:dyDescent="0.3">
      <c r="G361">
        <v>359</v>
      </c>
      <c r="H361" s="3">
        <v>4.4854433819620655E-2</v>
      </c>
      <c r="I361" s="3">
        <v>-1.8915293903923776E-2</v>
      </c>
      <c r="J361">
        <f t="shared" si="6"/>
        <v>1</v>
      </c>
    </row>
    <row r="362" spans="7:10" ht="19.95" customHeight="1" x14ac:dyDescent="0.3">
      <c r="G362">
        <v>360</v>
      </c>
      <c r="H362" s="3">
        <v>9.3151793873543831E-2</v>
      </c>
      <c r="I362" s="3">
        <v>0.11563349902873185</v>
      </c>
      <c r="J362">
        <f t="shared" si="6"/>
        <v>0</v>
      </c>
    </row>
    <row r="363" spans="7:10" ht="19.95" customHeight="1" x14ac:dyDescent="0.3">
      <c r="G363">
        <v>361</v>
      </c>
      <c r="H363" s="3">
        <v>7.6334544646185387E-2</v>
      </c>
      <c r="I363" s="3">
        <v>6.6164892414063148E-2</v>
      </c>
      <c r="J363">
        <f t="shared" si="6"/>
        <v>1</v>
      </c>
    </row>
    <row r="364" spans="7:10" ht="19.95" customHeight="1" x14ac:dyDescent="0.3">
      <c r="G364">
        <v>362</v>
      </c>
      <c r="H364" s="3">
        <v>0.10832815723175065</v>
      </c>
      <c r="I364" s="3">
        <v>5.4268754782891705E-2</v>
      </c>
      <c r="J364">
        <f t="shared" si="6"/>
        <v>1</v>
      </c>
    </row>
    <row r="365" spans="7:10" ht="19.95" customHeight="1" x14ac:dyDescent="0.3">
      <c r="G365">
        <v>363</v>
      </c>
      <c r="H365" s="3">
        <v>-0.20179043449861733</v>
      </c>
      <c r="I365" s="3">
        <v>-0.36350907440841579</v>
      </c>
      <c r="J365">
        <f t="shared" si="6"/>
        <v>1</v>
      </c>
    </row>
    <row r="366" spans="7:10" ht="19.95" customHeight="1" x14ac:dyDescent="0.3">
      <c r="G366">
        <v>364</v>
      </c>
      <c r="H366" s="3">
        <v>-1.2980078773517069E-2</v>
      </c>
      <c r="I366" s="3">
        <v>5.102489407871922E-2</v>
      </c>
      <c r="J366">
        <f t="shared" si="6"/>
        <v>0</v>
      </c>
    </row>
    <row r="367" spans="7:10" ht="19.95" customHeight="1" x14ac:dyDescent="0.3">
      <c r="G367">
        <v>365</v>
      </c>
      <c r="H367" s="3">
        <v>-3.6365769280250398E-2</v>
      </c>
      <c r="I367" s="3">
        <v>1.521181035087652E-2</v>
      </c>
      <c r="J367">
        <f t="shared" si="6"/>
        <v>0</v>
      </c>
    </row>
    <row r="368" spans="7:10" ht="19.95" customHeight="1" x14ac:dyDescent="0.3">
      <c r="G368">
        <v>366</v>
      </c>
      <c r="H368" s="3">
        <v>0.16732345688577174</v>
      </c>
      <c r="I368" s="3">
        <v>5.5328900160580612E-2</v>
      </c>
      <c r="J368">
        <f t="shared" si="6"/>
        <v>1</v>
      </c>
    </row>
    <row r="369" spans="7:10" ht="19.95" customHeight="1" x14ac:dyDescent="0.3">
      <c r="G369">
        <v>367</v>
      </c>
      <c r="H369" s="3">
        <v>6.2962575025978212E-2</v>
      </c>
      <c r="I369" s="3">
        <v>5.9859890998543351E-2</v>
      </c>
      <c r="J369">
        <f t="shared" si="6"/>
        <v>1</v>
      </c>
    </row>
    <row r="370" spans="7:10" ht="19.95" customHeight="1" x14ac:dyDescent="0.3">
      <c r="G370">
        <v>368</v>
      </c>
      <c r="H370" s="3">
        <v>7.3743222804400058E-2</v>
      </c>
      <c r="I370" s="3">
        <v>-4.3512619921487992E-4</v>
      </c>
      <c r="J370">
        <f t="shared" si="6"/>
        <v>1</v>
      </c>
    </row>
    <row r="371" spans="7:10" ht="19.95" customHeight="1" x14ac:dyDescent="0.3">
      <c r="G371">
        <v>369</v>
      </c>
      <c r="H371" s="3">
        <v>7.5103521426413862E-3</v>
      </c>
      <c r="I371" s="3">
        <v>4.5816767126653786E-2</v>
      </c>
      <c r="J371">
        <f t="shared" si="6"/>
        <v>0</v>
      </c>
    </row>
    <row r="372" spans="7:10" ht="19.95" customHeight="1" x14ac:dyDescent="0.3">
      <c r="G372">
        <v>370</v>
      </c>
      <c r="H372" s="3">
        <v>7.0454902404001943E-2</v>
      </c>
      <c r="I372" s="3">
        <v>2.8243567171279595E-2</v>
      </c>
      <c r="J372">
        <f t="shared" si="6"/>
        <v>1</v>
      </c>
    </row>
    <row r="373" spans="7:10" ht="19.95" customHeight="1" x14ac:dyDescent="0.3">
      <c r="G373">
        <v>371</v>
      </c>
      <c r="H373" s="3">
        <v>-9.6617875877523796E-2</v>
      </c>
      <c r="I373" s="3">
        <v>-6.7757710908761442E-3</v>
      </c>
      <c r="J373">
        <f t="shared" si="6"/>
        <v>0</v>
      </c>
    </row>
    <row r="374" spans="7:10" ht="19.95" customHeight="1" x14ac:dyDescent="0.3">
      <c r="G374">
        <v>372</v>
      </c>
      <c r="H374" s="3">
        <v>6.121557249454055E-2</v>
      </c>
      <c r="I374" s="3">
        <v>-7.5129086612763768E-2</v>
      </c>
      <c r="J374">
        <f t="shared" si="6"/>
        <v>1</v>
      </c>
    </row>
    <row r="375" spans="7:10" ht="19.95" customHeight="1" x14ac:dyDescent="0.3">
      <c r="G375">
        <v>373</v>
      </c>
      <c r="H375" s="3">
        <v>-6.4738752355699855E-2</v>
      </c>
      <c r="I375" s="3">
        <v>-3.7092233434407769E-2</v>
      </c>
      <c r="J375">
        <f t="shared" si="6"/>
        <v>0</v>
      </c>
    </row>
    <row r="376" spans="7:10" ht="19.95" customHeight="1" x14ac:dyDescent="0.3">
      <c r="G376">
        <v>374</v>
      </c>
      <c r="H376" s="3">
        <v>2.6937451584244928E-2</v>
      </c>
      <c r="I376" s="3">
        <v>-1.2048097623931628E-2</v>
      </c>
      <c r="J376">
        <f t="shared" si="6"/>
        <v>1</v>
      </c>
    </row>
    <row r="377" spans="7:10" ht="19.95" customHeight="1" x14ac:dyDescent="0.3">
      <c r="G377">
        <v>375</v>
      </c>
      <c r="H377" s="3">
        <v>-0.15413841294051883</v>
      </c>
      <c r="I377" s="3">
        <v>-8.4631138308364634E-2</v>
      </c>
      <c r="J377">
        <f t="shared" si="6"/>
        <v>0</v>
      </c>
    </row>
    <row r="378" spans="7:10" ht="19.95" customHeight="1" x14ac:dyDescent="0.3">
      <c r="G378">
        <v>376</v>
      </c>
      <c r="H378" s="3">
        <v>1.3140114656177218E-2</v>
      </c>
      <c r="I378" s="3">
        <v>3.2479110968297809E-2</v>
      </c>
      <c r="J378">
        <f t="shared" si="6"/>
        <v>0</v>
      </c>
    </row>
    <row r="379" spans="7:10" ht="19.95" customHeight="1" x14ac:dyDescent="0.3">
      <c r="G379">
        <v>377</v>
      </c>
      <c r="H379" s="3">
        <v>8.1394889661462758E-2</v>
      </c>
      <c r="I379" s="3">
        <v>-7.1112763252475508E-2</v>
      </c>
      <c r="J379">
        <f t="shared" si="6"/>
        <v>1</v>
      </c>
    </row>
    <row r="380" spans="7:10" ht="19.95" customHeight="1" x14ac:dyDescent="0.3">
      <c r="G380">
        <v>378</v>
      </c>
      <c r="H380" s="3">
        <v>-7.097114592370439E-3</v>
      </c>
      <c r="I380" s="3">
        <v>-1.6487097683601307E-2</v>
      </c>
      <c r="J380">
        <f t="shared" si="6"/>
        <v>1</v>
      </c>
    </row>
    <row r="381" spans="7:10" ht="19.95" customHeight="1" x14ac:dyDescent="0.3">
      <c r="G381">
        <v>379</v>
      </c>
      <c r="H381" s="3">
        <v>9.4734727658809637E-2</v>
      </c>
      <c r="I381" s="3">
        <v>9.6937081768013911E-2</v>
      </c>
      <c r="J381">
        <f t="shared" si="6"/>
        <v>0</v>
      </c>
    </row>
    <row r="382" spans="7:10" ht="19.95" customHeight="1" x14ac:dyDescent="0.3">
      <c r="G382">
        <v>380</v>
      </c>
      <c r="H382" s="3">
        <v>-7.3358792088382918E-2</v>
      </c>
      <c r="I382" s="3">
        <v>2.6327461808540085E-2</v>
      </c>
      <c r="J382">
        <f t="shared" si="6"/>
        <v>0</v>
      </c>
    </row>
    <row r="383" spans="7:10" ht="19.95" customHeight="1" x14ac:dyDescent="0.3">
      <c r="G383">
        <v>381</v>
      </c>
      <c r="H383" s="3">
        <v>1.2972027677884933E-3</v>
      </c>
      <c r="I383" s="3">
        <v>-8.2137229758315403E-2</v>
      </c>
      <c r="J383">
        <f t="shared" si="6"/>
        <v>1</v>
      </c>
    </row>
    <row r="384" spans="7:10" ht="19.95" customHeight="1" x14ac:dyDescent="0.3">
      <c r="G384">
        <v>382</v>
      </c>
      <c r="H384" s="3">
        <v>-1.3855283494909388E-3</v>
      </c>
      <c r="I384" s="3">
        <v>-2.0015495067129584E-2</v>
      </c>
      <c r="J384">
        <f t="shared" si="6"/>
        <v>1</v>
      </c>
    </row>
    <row r="385" spans="7:10" ht="19.95" customHeight="1" x14ac:dyDescent="0.3">
      <c r="G385">
        <v>383</v>
      </c>
      <c r="H385" s="3">
        <v>-5.2461153584138741E-2</v>
      </c>
      <c r="I385" s="3">
        <v>5.517913976066104E-3</v>
      </c>
      <c r="J385">
        <f t="shared" si="6"/>
        <v>0</v>
      </c>
    </row>
    <row r="386" spans="7:10" ht="19.95" customHeight="1" x14ac:dyDescent="0.3">
      <c r="G386">
        <v>384</v>
      </c>
      <c r="H386" s="3">
        <v>2.8434443701642088E-2</v>
      </c>
      <c r="I386" s="3">
        <v>-8.554782997903955E-2</v>
      </c>
      <c r="J386">
        <f t="shared" si="6"/>
        <v>1</v>
      </c>
    </row>
    <row r="387" spans="7:10" ht="19.95" customHeight="1" x14ac:dyDescent="0.3">
      <c r="G387">
        <v>385</v>
      </c>
      <c r="H387" s="3">
        <v>-3.0581877238155825E-3</v>
      </c>
      <c r="I387" s="3">
        <v>7.3622884090841154E-2</v>
      </c>
      <c r="J387">
        <f t="shared" si="6"/>
        <v>0</v>
      </c>
    </row>
    <row r="388" spans="7:10" ht="19.95" customHeight="1" x14ac:dyDescent="0.3">
      <c r="G388">
        <v>386</v>
      </c>
      <c r="H388" s="3">
        <v>0.11342387166707608</v>
      </c>
      <c r="I388" s="3">
        <v>0.15723513245386087</v>
      </c>
      <c r="J388">
        <f t="shared" ref="J388:J451" si="7">IF(H388&gt;I388,1,0)</f>
        <v>0</v>
      </c>
    </row>
    <row r="389" spans="7:10" ht="19.95" customHeight="1" x14ac:dyDescent="0.3">
      <c r="G389">
        <v>387</v>
      </c>
      <c r="H389" s="3">
        <v>3.3623848607277747E-2</v>
      </c>
      <c r="I389" s="3">
        <v>6.4553516294856464E-2</v>
      </c>
      <c r="J389">
        <f t="shared" si="7"/>
        <v>0</v>
      </c>
    </row>
    <row r="390" spans="7:10" ht="19.95" customHeight="1" x14ac:dyDescent="0.3">
      <c r="G390">
        <v>388</v>
      </c>
      <c r="H390" s="3">
        <v>5.8415326020196529E-2</v>
      </c>
      <c r="I390" s="3">
        <v>-2.9939080927778607E-2</v>
      </c>
      <c r="J390">
        <f t="shared" si="7"/>
        <v>1</v>
      </c>
    </row>
    <row r="391" spans="7:10" ht="19.95" customHeight="1" x14ac:dyDescent="0.3">
      <c r="G391">
        <v>389</v>
      </c>
      <c r="H391" s="3">
        <v>8.0891399413742293E-2</v>
      </c>
      <c r="I391" s="3">
        <v>0.14396428213115173</v>
      </c>
      <c r="J391">
        <f t="shared" si="7"/>
        <v>0</v>
      </c>
    </row>
    <row r="392" spans="7:10" ht="19.95" customHeight="1" x14ac:dyDescent="0.3">
      <c r="G392">
        <v>390</v>
      </c>
      <c r="H392" s="3">
        <v>0.11527245856331197</v>
      </c>
      <c r="I392" s="3">
        <v>3.2891150866394325E-2</v>
      </c>
      <c r="J392">
        <f t="shared" si="7"/>
        <v>1</v>
      </c>
    </row>
    <row r="393" spans="7:10" ht="19.95" customHeight="1" x14ac:dyDescent="0.3">
      <c r="G393">
        <v>391</v>
      </c>
      <c r="H393" s="3">
        <v>9.2872749138517827E-2</v>
      </c>
      <c r="I393" s="3">
        <v>-4.5074883262021664E-2</v>
      </c>
      <c r="J393">
        <f t="shared" si="7"/>
        <v>1</v>
      </c>
    </row>
    <row r="394" spans="7:10" ht="19.95" customHeight="1" x14ac:dyDescent="0.3">
      <c r="G394">
        <v>392</v>
      </c>
      <c r="H394" s="3">
        <v>2.1505556177530603E-2</v>
      </c>
      <c r="I394" s="3">
        <v>9.1528070136078346E-2</v>
      </c>
      <c r="J394">
        <f t="shared" si="7"/>
        <v>0</v>
      </c>
    </row>
    <row r="395" spans="7:10" ht="19.95" customHeight="1" x14ac:dyDescent="0.3">
      <c r="G395">
        <v>393</v>
      </c>
      <c r="H395" s="3">
        <v>0.17008498435911423</v>
      </c>
      <c r="I395" s="3">
        <v>0.20838672453622942</v>
      </c>
      <c r="J395">
        <f t="shared" si="7"/>
        <v>0</v>
      </c>
    </row>
    <row r="396" spans="7:10" ht="19.95" customHeight="1" x14ac:dyDescent="0.3">
      <c r="G396">
        <v>394</v>
      </c>
      <c r="H396" s="3">
        <v>-2.0048904223487388E-2</v>
      </c>
      <c r="I396" s="3">
        <v>8.1554249398117611E-3</v>
      </c>
      <c r="J396">
        <f t="shared" si="7"/>
        <v>0</v>
      </c>
    </row>
    <row r="397" spans="7:10" ht="19.95" customHeight="1" x14ac:dyDescent="0.3">
      <c r="G397">
        <v>395</v>
      </c>
      <c r="H397" s="3">
        <v>-1.169952239794019E-2</v>
      </c>
      <c r="I397" s="3">
        <v>-0.17755360343539445</v>
      </c>
      <c r="J397">
        <f t="shared" si="7"/>
        <v>1</v>
      </c>
    </row>
    <row r="398" spans="7:10" ht="19.95" customHeight="1" x14ac:dyDescent="0.3">
      <c r="G398">
        <v>396</v>
      </c>
      <c r="H398" s="3">
        <v>6.9104435745509188E-2</v>
      </c>
      <c r="I398" s="3">
        <v>8.9278027677542421E-2</v>
      </c>
      <c r="J398">
        <f t="shared" si="7"/>
        <v>0</v>
      </c>
    </row>
    <row r="399" spans="7:10" ht="19.95" customHeight="1" x14ac:dyDescent="0.3">
      <c r="G399">
        <v>397</v>
      </c>
      <c r="H399" s="3">
        <v>0.15022959944552047</v>
      </c>
      <c r="I399" s="3">
        <v>8.0653140742693127E-2</v>
      </c>
      <c r="J399">
        <f t="shared" si="7"/>
        <v>1</v>
      </c>
    </row>
    <row r="400" spans="7:10" ht="19.95" customHeight="1" x14ac:dyDescent="0.3">
      <c r="G400">
        <v>398</v>
      </c>
      <c r="H400" s="3">
        <v>9.376982349619839E-2</v>
      </c>
      <c r="I400" s="3">
        <v>5.8975324263556604E-3</v>
      </c>
      <c r="J400">
        <f t="shared" si="7"/>
        <v>1</v>
      </c>
    </row>
    <row r="401" spans="7:10" ht="19.95" customHeight="1" x14ac:dyDescent="0.3">
      <c r="G401">
        <v>399</v>
      </c>
      <c r="H401" s="3">
        <v>2.1151162922448941E-2</v>
      </c>
      <c r="I401" s="3">
        <v>-4.4353643023136428E-2</v>
      </c>
      <c r="J401">
        <f t="shared" si="7"/>
        <v>1</v>
      </c>
    </row>
    <row r="402" spans="7:10" ht="19.95" customHeight="1" x14ac:dyDescent="0.3">
      <c r="G402">
        <v>400</v>
      </c>
      <c r="H402" s="3">
        <v>-0.12493248754075262</v>
      </c>
      <c r="I402" s="3">
        <v>-0.13711833375924898</v>
      </c>
      <c r="J402">
        <f t="shared" si="7"/>
        <v>1</v>
      </c>
    </row>
    <row r="403" spans="7:10" ht="19.95" customHeight="1" x14ac:dyDescent="0.3">
      <c r="G403">
        <v>401</v>
      </c>
      <c r="H403" s="3">
        <v>0.25230370335873381</v>
      </c>
      <c r="I403" s="3">
        <v>0.21437700428942066</v>
      </c>
      <c r="J403">
        <f t="shared" si="7"/>
        <v>1</v>
      </c>
    </row>
    <row r="404" spans="7:10" ht="19.95" customHeight="1" x14ac:dyDescent="0.3">
      <c r="G404">
        <v>402</v>
      </c>
      <c r="H404" s="3">
        <v>7.8747399475926322E-2</v>
      </c>
      <c r="I404" s="3">
        <v>6.6953233787595018E-2</v>
      </c>
      <c r="J404">
        <f t="shared" si="7"/>
        <v>1</v>
      </c>
    </row>
    <row r="405" spans="7:10" ht="19.95" customHeight="1" x14ac:dyDescent="0.3">
      <c r="G405">
        <v>403</v>
      </c>
      <c r="H405" s="3">
        <v>-7.5968268074459513E-2</v>
      </c>
      <c r="I405" s="3">
        <v>-0.20975933910298902</v>
      </c>
      <c r="J405">
        <f t="shared" si="7"/>
        <v>1</v>
      </c>
    </row>
    <row r="406" spans="7:10" ht="19.95" customHeight="1" x14ac:dyDescent="0.3">
      <c r="G406">
        <v>404</v>
      </c>
      <c r="H406" s="3">
        <v>-1.1973394416487074E-2</v>
      </c>
      <c r="I406" s="3">
        <v>5.7417529870990754E-2</v>
      </c>
      <c r="J406">
        <f t="shared" si="7"/>
        <v>0</v>
      </c>
    </row>
    <row r="407" spans="7:10" ht="19.95" customHeight="1" x14ac:dyDescent="0.3">
      <c r="G407">
        <v>405</v>
      </c>
      <c r="H407" s="3">
        <v>3.5841280037335346E-2</v>
      </c>
      <c r="I407" s="3">
        <v>5.1653260869289834E-2</v>
      </c>
      <c r="J407">
        <f t="shared" si="7"/>
        <v>0</v>
      </c>
    </row>
    <row r="408" spans="7:10" ht="19.95" customHeight="1" x14ac:dyDescent="0.3">
      <c r="G408">
        <v>406</v>
      </c>
      <c r="H408" s="3">
        <v>-4.7274779823550633E-2</v>
      </c>
      <c r="I408" s="3">
        <v>0.14420781358356607</v>
      </c>
      <c r="J408">
        <f t="shared" si="7"/>
        <v>0</v>
      </c>
    </row>
    <row r="409" spans="7:10" ht="19.95" customHeight="1" x14ac:dyDescent="0.3">
      <c r="G409">
        <v>407</v>
      </c>
      <c r="H409" s="3">
        <v>6.2029575552739382E-3</v>
      </c>
      <c r="I409" s="3">
        <v>0.10101126702692004</v>
      </c>
      <c r="J409">
        <f t="shared" si="7"/>
        <v>0</v>
      </c>
    </row>
    <row r="410" spans="7:10" ht="19.95" customHeight="1" x14ac:dyDescent="0.3">
      <c r="G410">
        <v>408</v>
      </c>
      <c r="H410" s="3">
        <v>7.8935566928467524E-2</v>
      </c>
      <c r="I410" s="3">
        <v>0.11311686173679407</v>
      </c>
      <c r="J410">
        <f t="shared" si="7"/>
        <v>0</v>
      </c>
    </row>
    <row r="411" spans="7:10" ht="19.95" customHeight="1" x14ac:dyDescent="0.3">
      <c r="G411">
        <v>409</v>
      </c>
      <c r="H411" s="3">
        <v>-6.7692088518545107E-2</v>
      </c>
      <c r="I411" s="3">
        <v>-8.6961337088880264E-3</v>
      </c>
      <c r="J411">
        <f t="shared" si="7"/>
        <v>0</v>
      </c>
    </row>
    <row r="412" spans="7:10" ht="19.95" customHeight="1" x14ac:dyDescent="0.3">
      <c r="G412">
        <v>410</v>
      </c>
      <c r="H412" s="3">
        <v>-0.16573890017891038</v>
      </c>
      <c r="I412" s="3">
        <v>-1.0977151898944253E-2</v>
      </c>
      <c r="J412">
        <f t="shared" si="7"/>
        <v>0</v>
      </c>
    </row>
    <row r="413" spans="7:10" ht="19.95" customHeight="1" x14ac:dyDescent="0.3">
      <c r="G413">
        <v>411</v>
      </c>
      <c r="H413" s="3">
        <v>0.21550442938575237</v>
      </c>
      <c r="I413" s="3">
        <v>0.21149952434032335</v>
      </c>
      <c r="J413">
        <f t="shared" si="7"/>
        <v>1</v>
      </c>
    </row>
    <row r="414" spans="7:10" ht="19.95" customHeight="1" x14ac:dyDescent="0.3">
      <c r="G414">
        <v>412</v>
      </c>
      <c r="H414" s="3">
        <v>6.8768786102163471E-2</v>
      </c>
      <c r="I414" s="3">
        <v>4.0240041399230569E-2</v>
      </c>
      <c r="J414">
        <f t="shared" si="7"/>
        <v>1</v>
      </c>
    </row>
    <row r="415" spans="7:10" ht="19.95" customHeight="1" x14ac:dyDescent="0.3">
      <c r="G415">
        <v>413</v>
      </c>
      <c r="H415" s="3">
        <v>0.18284698670700011</v>
      </c>
      <c r="I415" s="3">
        <v>0.21661918696191421</v>
      </c>
      <c r="J415">
        <f t="shared" si="7"/>
        <v>0</v>
      </c>
    </row>
    <row r="416" spans="7:10" ht="19.95" customHeight="1" x14ac:dyDescent="0.3">
      <c r="G416">
        <v>414</v>
      </c>
      <c r="H416" s="3">
        <v>-5.9991352040172842E-2</v>
      </c>
      <c r="I416" s="3">
        <v>0.12375718231130742</v>
      </c>
      <c r="J416">
        <f t="shared" si="7"/>
        <v>0</v>
      </c>
    </row>
    <row r="417" spans="7:10" ht="19.95" customHeight="1" x14ac:dyDescent="0.3">
      <c r="G417">
        <v>415</v>
      </c>
      <c r="H417" s="3">
        <v>7.0894702587267155E-2</v>
      </c>
      <c r="I417" s="3">
        <v>7.9589075905999021E-2</v>
      </c>
      <c r="J417">
        <f t="shared" si="7"/>
        <v>0</v>
      </c>
    </row>
    <row r="418" spans="7:10" ht="19.95" customHeight="1" x14ac:dyDescent="0.3">
      <c r="G418">
        <v>416</v>
      </c>
      <c r="H418" s="3">
        <v>5.1403312251677796E-2</v>
      </c>
      <c r="I418" s="3">
        <v>5.3799837621475555E-2</v>
      </c>
      <c r="J418">
        <f t="shared" si="7"/>
        <v>0</v>
      </c>
    </row>
    <row r="419" spans="7:10" ht="19.95" customHeight="1" x14ac:dyDescent="0.3">
      <c r="G419">
        <v>417</v>
      </c>
      <c r="H419" s="3">
        <v>0.20988535987046689</v>
      </c>
      <c r="I419" s="3">
        <v>0.32119892719378507</v>
      </c>
      <c r="J419">
        <f t="shared" si="7"/>
        <v>0</v>
      </c>
    </row>
    <row r="420" spans="7:10" ht="19.95" customHeight="1" x14ac:dyDescent="0.3">
      <c r="G420">
        <v>418</v>
      </c>
      <c r="H420" s="3">
        <v>0.25900419726275131</v>
      </c>
      <c r="I420" s="3">
        <v>0.23221316343460754</v>
      </c>
      <c r="J420">
        <f t="shared" si="7"/>
        <v>1</v>
      </c>
    </row>
    <row r="421" spans="7:10" ht="19.95" customHeight="1" x14ac:dyDescent="0.3">
      <c r="G421">
        <v>419</v>
      </c>
      <c r="H421" s="3">
        <v>4.8385785048899177E-3</v>
      </c>
      <c r="I421" s="3">
        <v>5.5253144299899914E-2</v>
      </c>
      <c r="J421">
        <f t="shared" si="7"/>
        <v>0</v>
      </c>
    </row>
    <row r="422" spans="7:10" ht="19.95" customHeight="1" x14ac:dyDescent="0.3">
      <c r="G422">
        <v>420</v>
      </c>
      <c r="H422" s="3">
        <v>-6.4117277267103034E-2</v>
      </c>
      <c r="I422" s="3">
        <v>8.4055636292603653E-2</v>
      </c>
      <c r="J422">
        <f t="shared" si="7"/>
        <v>0</v>
      </c>
    </row>
    <row r="423" spans="7:10" ht="19.95" customHeight="1" x14ac:dyDescent="0.3">
      <c r="G423">
        <v>421</v>
      </c>
      <c r="H423" s="3">
        <v>-8.4503365299584146E-2</v>
      </c>
      <c r="I423" s="3">
        <v>3.6455716037396883E-2</v>
      </c>
      <c r="J423">
        <f t="shared" si="7"/>
        <v>0</v>
      </c>
    </row>
    <row r="424" spans="7:10" ht="19.95" customHeight="1" x14ac:dyDescent="0.3">
      <c r="G424">
        <v>422</v>
      </c>
      <c r="H424" s="3">
        <v>-7.7550752405188356E-2</v>
      </c>
      <c r="I424" s="3">
        <v>-0.12314648868792046</v>
      </c>
      <c r="J424">
        <f t="shared" si="7"/>
        <v>1</v>
      </c>
    </row>
    <row r="425" spans="7:10" ht="19.95" customHeight="1" x14ac:dyDescent="0.3">
      <c r="G425">
        <v>423</v>
      </c>
      <c r="H425" s="3">
        <v>0.13307580256078905</v>
      </c>
      <c r="I425" s="3">
        <v>0.20352080794039673</v>
      </c>
      <c r="J425">
        <f t="shared" si="7"/>
        <v>0</v>
      </c>
    </row>
    <row r="426" spans="7:10" ht="19.95" customHeight="1" x14ac:dyDescent="0.3">
      <c r="G426">
        <v>424</v>
      </c>
      <c r="H426" s="3">
        <v>0.1623685136021179</v>
      </c>
      <c r="I426" s="3">
        <v>0.15705427375626671</v>
      </c>
      <c r="J426">
        <f t="shared" si="7"/>
        <v>1</v>
      </c>
    </row>
    <row r="427" spans="7:10" ht="19.95" customHeight="1" x14ac:dyDescent="0.3">
      <c r="G427">
        <v>425</v>
      </c>
      <c r="H427" s="3">
        <v>0.1460184316877611</v>
      </c>
      <c r="I427" s="3">
        <v>5.5576598570364788E-2</v>
      </c>
      <c r="J427">
        <f t="shared" si="7"/>
        <v>1</v>
      </c>
    </row>
    <row r="428" spans="7:10" ht="19.95" customHeight="1" x14ac:dyDescent="0.3">
      <c r="G428">
        <v>426</v>
      </c>
      <c r="H428" s="3">
        <v>7.5144753560016292E-2</v>
      </c>
      <c r="I428" s="3">
        <v>0.17278169520423231</v>
      </c>
      <c r="J428">
        <f t="shared" si="7"/>
        <v>0</v>
      </c>
    </row>
    <row r="429" spans="7:10" ht="19.95" customHeight="1" x14ac:dyDescent="0.3">
      <c r="G429">
        <v>427</v>
      </c>
      <c r="H429" s="3">
        <v>5.8237681308277792E-2</v>
      </c>
      <c r="I429" s="3">
        <v>6.6394706186859484E-2</v>
      </c>
      <c r="J429">
        <f t="shared" si="7"/>
        <v>0</v>
      </c>
    </row>
    <row r="430" spans="7:10" ht="19.95" customHeight="1" x14ac:dyDescent="0.3">
      <c r="G430">
        <v>428</v>
      </c>
      <c r="H430" s="3">
        <v>0.14337572650284083</v>
      </c>
      <c r="I430" s="3">
        <v>2.8836201508291928E-2</v>
      </c>
      <c r="J430">
        <f t="shared" si="7"/>
        <v>1</v>
      </c>
    </row>
    <row r="431" spans="7:10" ht="19.95" customHeight="1" x14ac:dyDescent="0.3">
      <c r="G431">
        <v>429</v>
      </c>
      <c r="H431" s="3">
        <v>0.1312940441924392</v>
      </c>
      <c r="I431" s="3">
        <v>4.2770226122430616E-2</v>
      </c>
      <c r="J431">
        <f t="shared" si="7"/>
        <v>1</v>
      </c>
    </row>
    <row r="432" spans="7:10" ht="19.95" customHeight="1" x14ac:dyDescent="0.3">
      <c r="G432">
        <v>430</v>
      </c>
      <c r="H432" s="3">
        <v>0.13516714319850209</v>
      </c>
      <c r="I432" s="3">
        <v>9.614344391153723E-2</v>
      </c>
      <c r="J432">
        <f t="shared" si="7"/>
        <v>1</v>
      </c>
    </row>
    <row r="433" spans="7:10" ht="19.95" customHeight="1" x14ac:dyDescent="0.3">
      <c r="G433">
        <v>431</v>
      </c>
      <c r="H433" s="3">
        <v>7.3984409629816533E-2</v>
      </c>
      <c r="I433" s="3">
        <v>0.33883387750494126</v>
      </c>
      <c r="J433">
        <f t="shared" si="7"/>
        <v>0</v>
      </c>
    </row>
    <row r="434" spans="7:10" ht="19.95" customHeight="1" x14ac:dyDescent="0.3">
      <c r="G434">
        <v>432</v>
      </c>
      <c r="H434" s="3">
        <v>-6.0773898155188015E-2</v>
      </c>
      <c r="I434" s="3">
        <v>-0.12342236981298005</v>
      </c>
      <c r="J434">
        <f t="shared" si="7"/>
        <v>1</v>
      </c>
    </row>
    <row r="435" spans="7:10" ht="19.95" customHeight="1" x14ac:dyDescent="0.3">
      <c r="G435">
        <v>433</v>
      </c>
      <c r="H435" s="3">
        <v>0.24149701171256302</v>
      </c>
      <c r="I435" s="3">
        <v>0.11016912936631143</v>
      </c>
      <c r="J435">
        <f t="shared" si="7"/>
        <v>1</v>
      </c>
    </row>
    <row r="436" spans="7:10" ht="19.95" customHeight="1" x14ac:dyDescent="0.3">
      <c r="G436">
        <v>434</v>
      </c>
      <c r="H436" s="3">
        <v>3.6120771762511987E-2</v>
      </c>
      <c r="I436" s="3">
        <v>2.5179916708605816E-2</v>
      </c>
      <c r="J436">
        <f t="shared" si="7"/>
        <v>1</v>
      </c>
    </row>
    <row r="437" spans="7:10" ht="19.95" customHeight="1" x14ac:dyDescent="0.3">
      <c r="G437">
        <v>435</v>
      </c>
      <c r="H437" s="3">
        <v>0.15832753103150166</v>
      </c>
      <c r="I437" s="3">
        <v>0.10385198130043224</v>
      </c>
      <c r="J437">
        <f t="shared" si="7"/>
        <v>1</v>
      </c>
    </row>
    <row r="438" spans="7:10" ht="19.95" customHeight="1" x14ac:dyDescent="0.3">
      <c r="G438">
        <v>436</v>
      </c>
      <c r="H438" s="3">
        <v>7.1083084267103816E-2</v>
      </c>
      <c r="I438" s="3">
        <v>-8.6613932530310592E-2</v>
      </c>
      <c r="J438">
        <f t="shared" si="7"/>
        <v>1</v>
      </c>
    </row>
    <row r="439" spans="7:10" ht="19.95" customHeight="1" x14ac:dyDescent="0.3">
      <c r="G439">
        <v>437</v>
      </c>
      <c r="H439" s="3">
        <v>-3.1462660689899953E-2</v>
      </c>
      <c r="I439" s="3">
        <v>-4.0120511117554887E-2</v>
      </c>
      <c r="J439">
        <f t="shared" si="7"/>
        <v>1</v>
      </c>
    </row>
    <row r="440" spans="7:10" ht="19.95" customHeight="1" x14ac:dyDescent="0.3">
      <c r="G440">
        <v>438</v>
      </c>
      <c r="H440" s="3">
        <v>0.11267286108710481</v>
      </c>
      <c r="I440" s="3">
        <v>0.10559735946041947</v>
      </c>
      <c r="J440">
        <f t="shared" si="7"/>
        <v>1</v>
      </c>
    </row>
    <row r="441" spans="7:10" ht="19.95" customHeight="1" x14ac:dyDescent="0.3">
      <c r="G441">
        <v>439</v>
      </c>
      <c r="H441" s="3">
        <v>0.10378278549965853</v>
      </c>
      <c r="I441" s="3">
        <v>6.3730976774441284E-2</v>
      </c>
      <c r="J441">
        <f t="shared" si="7"/>
        <v>1</v>
      </c>
    </row>
    <row r="442" spans="7:10" ht="19.95" customHeight="1" x14ac:dyDescent="0.3">
      <c r="G442">
        <v>440</v>
      </c>
      <c r="H442" s="3">
        <v>3.533438139253408E-2</v>
      </c>
      <c r="I442" s="3">
        <v>1.8954827708751142E-2</v>
      </c>
      <c r="J442">
        <f t="shared" si="7"/>
        <v>1</v>
      </c>
    </row>
    <row r="443" spans="7:10" ht="19.95" customHeight="1" x14ac:dyDescent="0.3">
      <c r="G443">
        <v>441</v>
      </c>
      <c r="H443" s="3">
        <v>0.13045990287650844</v>
      </c>
      <c r="I443" s="3">
        <v>0.12600571845234432</v>
      </c>
      <c r="J443">
        <f t="shared" si="7"/>
        <v>1</v>
      </c>
    </row>
    <row r="444" spans="7:10" ht="19.95" customHeight="1" x14ac:dyDescent="0.3">
      <c r="G444">
        <v>442</v>
      </c>
      <c r="H444" s="3">
        <v>9.4841843660441294E-2</v>
      </c>
      <c r="I444" s="3">
        <v>1.8722695334707495E-2</v>
      </c>
      <c r="J444">
        <f t="shared" si="7"/>
        <v>1</v>
      </c>
    </row>
    <row r="445" spans="7:10" ht="19.95" customHeight="1" x14ac:dyDescent="0.3">
      <c r="G445">
        <v>443</v>
      </c>
      <c r="H445" s="3">
        <v>4.6019509473351136E-2</v>
      </c>
      <c r="I445" s="3">
        <v>4.6633187983976802E-2</v>
      </c>
      <c r="J445">
        <f t="shared" si="7"/>
        <v>0</v>
      </c>
    </row>
    <row r="446" spans="7:10" ht="19.95" customHeight="1" x14ac:dyDescent="0.3">
      <c r="G446">
        <v>444</v>
      </c>
      <c r="H446" s="3">
        <v>8.692331465550418E-2</v>
      </c>
      <c r="I446" s="3">
        <v>0.11116306516794008</v>
      </c>
      <c r="J446">
        <f t="shared" si="7"/>
        <v>0</v>
      </c>
    </row>
    <row r="447" spans="7:10" ht="19.95" customHeight="1" x14ac:dyDescent="0.3">
      <c r="G447">
        <v>445</v>
      </c>
      <c r="H447" s="3">
        <v>7.1249942946610412E-2</v>
      </c>
      <c r="I447" s="3">
        <v>0.15014959721302873</v>
      </c>
      <c r="J447">
        <f t="shared" si="7"/>
        <v>0</v>
      </c>
    </row>
    <row r="448" spans="7:10" ht="19.95" customHeight="1" x14ac:dyDescent="0.3">
      <c r="G448">
        <v>446</v>
      </c>
      <c r="H448" s="3">
        <v>0.11084329589137025</v>
      </c>
      <c r="I448" s="3">
        <v>0.13284167667956978</v>
      </c>
      <c r="J448">
        <f t="shared" si="7"/>
        <v>0</v>
      </c>
    </row>
    <row r="449" spans="7:10" ht="19.95" customHeight="1" x14ac:dyDescent="0.3">
      <c r="G449">
        <v>447</v>
      </c>
      <c r="H449" s="3">
        <v>2.0234502395633784E-2</v>
      </c>
      <c r="I449" s="3">
        <v>2.6231539480866421E-2</v>
      </c>
      <c r="J449">
        <f t="shared" si="7"/>
        <v>0</v>
      </c>
    </row>
    <row r="450" spans="7:10" ht="19.95" customHeight="1" x14ac:dyDescent="0.3">
      <c r="G450">
        <v>448</v>
      </c>
      <c r="H450" s="3">
        <v>5.6953600917290487E-2</v>
      </c>
      <c r="I450" s="3">
        <v>-8.3854711007352728E-3</v>
      </c>
      <c r="J450">
        <f t="shared" si="7"/>
        <v>1</v>
      </c>
    </row>
    <row r="451" spans="7:10" ht="19.95" customHeight="1" x14ac:dyDescent="0.3">
      <c r="G451">
        <v>449</v>
      </c>
      <c r="H451" s="3">
        <v>8.9187032627865648E-2</v>
      </c>
      <c r="I451" s="3">
        <v>0.14333687306147203</v>
      </c>
      <c r="J451">
        <f t="shared" si="7"/>
        <v>0</v>
      </c>
    </row>
    <row r="452" spans="7:10" ht="19.95" customHeight="1" x14ac:dyDescent="0.3">
      <c r="G452">
        <v>450</v>
      </c>
      <c r="H452" s="3">
        <v>7.0483544974928009E-2</v>
      </c>
      <c r="I452" s="3">
        <v>9.1710281616710243E-2</v>
      </c>
      <c r="J452">
        <f t="shared" ref="J452:J515" si="8">IF(H452&gt;I452,1,0)</f>
        <v>0</v>
      </c>
    </row>
    <row r="453" spans="7:10" ht="19.95" customHeight="1" x14ac:dyDescent="0.3">
      <c r="G453">
        <v>451</v>
      </c>
      <c r="H453" s="3">
        <v>0.17663152334620333</v>
      </c>
      <c r="I453" s="3">
        <v>7.9566506688606625E-2</v>
      </c>
      <c r="J453">
        <f t="shared" si="8"/>
        <v>1</v>
      </c>
    </row>
    <row r="454" spans="7:10" ht="19.95" customHeight="1" x14ac:dyDescent="0.3">
      <c r="G454">
        <v>452</v>
      </c>
      <c r="H454" s="3">
        <v>-1.9607994337881175E-2</v>
      </c>
      <c r="I454" s="3">
        <v>-3.2376031246054468E-2</v>
      </c>
      <c r="J454">
        <f t="shared" si="8"/>
        <v>1</v>
      </c>
    </row>
    <row r="455" spans="7:10" ht="19.95" customHeight="1" x14ac:dyDescent="0.3">
      <c r="G455">
        <v>453</v>
      </c>
      <c r="H455" s="3">
        <v>0.19095940479504511</v>
      </c>
      <c r="I455" s="3">
        <v>0.19673035373926678</v>
      </c>
      <c r="J455">
        <f t="shared" si="8"/>
        <v>0</v>
      </c>
    </row>
    <row r="456" spans="7:10" ht="19.95" customHeight="1" x14ac:dyDescent="0.3">
      <c r="G456">
        <v>454</v>
      </c>
      <c r="H456" s="3">
        <v>0.23488387486261228</v>
      </c>
      <c r="I456" s="3">
        <v>0.16712510740780012</v>
      </c>
      <c r="J456">
        <f t="shared" si="8"/>
        <v>1</v>
      </c>
    </row>
    <row r="457" spans="7:10" ht="19.95" customHeight="1" x14ac:dyDescent="0.3">
      <c r="G457">
        <v>455</v>
      </c>
      <c r="H457" s="3">
        <v>0.10844542629605734</v>
      </c>
      <c r="I457" s="3">
        <v>0.12657259362477602</v>
      </c>
      <c r="J457">
        <f t="shared" si="8"/>
        <v>0</v>
      </c>
    </row>
    <row r="458" spans="7:10" ht="19.95" customHeight="1" x14ac:dyDescent="0.3">
      <c r="G458">
        <v>456</v>
      </c>
      <c r="H458" s="3">
        <v>-2.6956486699733169E-2</v>
      </c>
      <c r="I458" s="3">
        <v>-2.3472621556295047E-2</v>
      </c>
      <c r="J458">
        <f t="shared" si="8"/>
        <v>0</v>
      </c>
    </row>
    <row r="459" spans="7:10" ht="19.95" customHeight="1" x14ac:dyDescent="0.3">
      <c r="G459">
        <v>457</v>
      </c>
      <c r="H459" s="3">
        <v>4.1712383295000155E-2</v>
      </c>
      <c r="I459" s="3">
        <v>8.1450613561414642E-2</v>
      </c>
      <c r="J459">
        <f t="shared" si="8"/>
        <v>0</v>
      </c>
    </row>
    <row r="460" spans="7:10" ht="19.95" customHeight="1" x14ac:dyDescent="0.3">
      <c r="G460">
        <v>458</v>
      </c>
      <c r="H460" s="3">
        <v>-2.5382620736913046E-2</v>
      </c>
      <c r="I460" s="3">
        <v>-3.2934527176740225E-2</v>
      </c>
      <c r="J460">
        <f t="shared" si="8"/>
        <v>1</v>
      </c>
    </row>
    <row r="461" spans="7:10" ht="19.95" customHeight="1" x14ac:dyDescent="0.3">
      <c r="G461">
        <v>459</v>
      </c>
      <c r="H461" s="3">
        <v>-1.4934003921051459E-3</v>
      </c>
      <c r="I461" s="3">
        <v>3.3350679818405452E-3</v>
      </c>
      <c r="J461">
        <f t="shared" si="8"/>
        <v>0</v>
      </c>
    </row>
    <row r="462" spans="7:10" ht="19.95" customHeight="1" x14ac:dyDescent="0.3">
      <c r="G462">
        <v>460</v>
      </c>
      <c r="H462" s="3">
        <v>0.17091432779580823</v>
      </c>
      <c r="I462" s="3">
        <v>0.28640322524874001</v>
      </c>
      <c r="J462">
        <f t="shared" si="8"/>
        <v>0</v>
      </c>
    </row>
    <row r="463" spans="7:10" ht="19.95" customHeight="1" x14ac:dyDescent="0.3">
      <c r="G463">
        <v>461</v>
      </c>
      <c r="H463" s="3">
        <v>-3.8233544365653353E-3</v>
      </c>
      <c r="I463" s="3">
        <v>1.7328909286104897E-2</v>
      </c>
      <c r="J463">
        <f t="shared" si="8"/>
        <v>0</v>
      </c>
    </row>
    <row r="464" spans="7:10" ht="19.95" customHeight="1" x14ac:dyDescent="0.3">
      <c r="G464">
        <v>462</v>
      </c>
      <c r="H464" s="3">
        <v>3.293659635878235E-2</v>
      </c>
      <c r="I464" s="3">
        <v>0.12780674154179386</v>
      </c>
      <c r="J464">
        <f t="shared" si="8"/>
        <v>0</v>
      </c>
    </row>
    <row r="465" spans="7:10" ht="19.95" customHeight="1" x14ac:dyDescent="0.3">
      <c r="G465">
        <v>463</v>
      </c>
      <c r="H465" s="3">
        <v>7.9068127323891318E-2</v>
      </c>
      <c r="I465" s="3">
        <v>-1.1307148878002389E-2</v>
      </c>
      <c r="J465">
        <f t="shared" si="8"/>
        <v>1</v>
      </c>
    </row>
    <row r="466" spans="7:10" ht="19.95" customHeight="1" x14ac:dyDescent="0.3">
      <c r="G466">
        <v>464</v>
      </c>
      <c r="H466" s="3">
        <v>6.2815744005975449E-2</v>
      </c>
      <c r="I466" s="3">
        <v>6.7034139947584323E-2</v>
      </c>
      <c r="J466">
        <f t="shared" si="8"/>
        <v>0</v>
      </c>
    </row>
    <row r="467" spans="7:10" ht="19.95" customHeight="1" x14ac:dyDescent="0.3">
      <c r="G467">
        <v>465</v>
      </c>
      <c r="H467" s="3">
        <v>0.20625556140668019</v>
      </c>
      <c r="I467" s="3">
        <v>0.29620198545618853</v>
      </c>
      <c r="J467">
        <f t="shared" si="8"/>
        <v>0</v>
      </c>
    </row>
    <row r="468" spans="7:10" ht="19.95" customHeight="1" x14ac:dyDescent="0.3">
      <c r="G468">
        <v>466</v>
      </c>
      <c r="H468" s="3">
        <v>0.22372213183559758</v>
      </c>
      <c r="I468" s="3">
        <v>0.16220395630478593</v>
      </c>
      <c r="J468">
        <f t="shared" si="8"/>
        <v>1</v>
      </c>
    </row>
    <row r="469" spans="7:10" ht="19.95" customHeight="1" x14ac:dyDescent="0.3">
      <c r="G469">
        <v>467</v>
      </c>
      <c r="H469" s="3">
        <v>8.136606308295069E-2</v>
      </c>
      <c r="I469" s="3">
        <v>0.15916653033752434</v>
      </c>
      <c r="J469">
        <f t="shared" si="8"/>
        <v>0</v>
      </c>
    </row>
    <row r="470" spans="7:10" ht="19.95" customHeight="1" x14ac:dyDescent="0.3">
      <c r="G470">
        <v>468</v>
      </c>
      <c r="H470" s="3">
        <v>0.19964003682999651</v>
      </c>
      <c r="I470" s="3">
        <v>4.3492441344326734E-2</v>
      </c>
      <c r="J470">
        <f t="shared" si="8"/>
        <v>1</v>
      </c>
    </row>
    <row r="471" spans="7:10" ht="19.95" customHeight="1" x14ac:dyDescent="0.3">
      <c r="G471">
        <v>469</v>
      </c>
      <c r="H471" s="3">
        <v>0.25448978839357589</v>
      </c>
      <c r="I471" s="3">
        <v>0.21561265634541738</v>
      </c>
      <c r="J471">
        <f t="shared" si="8"/>
        <v>1</v>
      </c>
    </row>
    <row r="472" spans="7:10" ht="19.95" customHeight="1" x14ac:dyDescent="0.3">
      <c r="G472">
        <v>470</v>
      </c>
      <c r="H472" s="3">
        <v>-7.8677541343441029E-3</v>
      </c>
      <c r="I472" s="3">
        <v>0.15561056852355246</v>
      </c>
      <c r="J472">
        <f t="shared" si="8"/>
        <v>0</v>
      </c>
    </row>
    <row r="473" spans="7:10" ht="19.95" customHeight="1" x14ac:dyDescent="0.3">
      <c r="G473">
        <v>471</v>
      </c>
      <c r="H473" s="3">
        <v>0.11578771926133466</v>
      </c>
      <c r="I473" s="3">
        <v>0.1524846436135055</v>
      </c>
      <c r="J473">
        <f t="shared" si="8"/>
        <v>0</v>
      </c>
    </row>
    <row r="474" spans="7:10" ht="19.95" customHeight="1" x14ac:dyDescent="0.3">
      <c r="G474">
        <v>472</v>
      </c>
      <c r="H474" s="3">
        <v>-3.4376340372586321E-3</v>
      </c>
      <c r="I474" s="3">
        <v>-1.7913090025368641E-2</v>
      </c>
      <c r="J474">
        <f t="shared" si="8"/>
        <v>1</v>
      </c>
    </row>
    <row r="475" spans="7:10" ht="19.95" customHeight="1" x14ac:dyDescent="0.3">
      <c r="G475">
        <v>473</v>
      </c>
      <c r="H475" s="3">
        <v>-2.2268270122640627E-2</v>
      </c>
      <c r="I475" s="3">
        <v>-2.141619766891048E-2</v>
      </c>
      <c r="J475">
        <f t="shared" si="8"/>
        <v>0</v>
      </c>
    </row>
    <row r="476" spans="7:10" ht="19.95" customHeight="1" x14ac:dyDescent="0.3">
      <c r="G476">
        <v>474</v>
      </c>
      <c r="H476" s="3">
        <v>-7.6134821975760731E-3</v>
      </c>
      <c r="I476" s="3">
        <v>-4.7200227791346777E-3</v>
      </c>
      <c r="J476">
        <f t="shared" si="8"/>
        <v>0</v>
      </c>
    </row>
    <row r="477" spans="7:10" ht="19.95" customHeight="1" x14ac:dyDescent="0.3">
      <c r="G477">
        <v>475</v>
      </c>
      <c r="H477" s="3">
        <v>7.5870515850280998E-2</v>
      </c>
      <c r="I477" s="3">
        <v>9.7648441942414912E-2</v>
      </c>
      <c r="J477">
        <f t="shared" si="8"/>
        <v>0</v>
      </c>
    </row>
    <row r="478" spans="7:10" ht="19.95" customHeight="1" x14ac:dyDescent="0.3">
      <c r="G478">
        <v>476</v>
      </c>
      <c r="H478" s="3">
        <v>5.6056872771793106E-3</v>
      </c>
      <c r="I478" s="3">
        <v>1.8993149702847281E-2</v>
      </c>
      <c r="J478">
        <f t="shared" si="8"/>
        <v>0</v>
      </c>
    </row>
    <row r="479" spans="7:10" ht="19.95" customHeight="1" x14ac:dyDescent="0.3">
      <c r="G479">
        <v>477</v>
      </c>
      <c r="H479" s="3">
        <v>0.10640669933483607</v>
      </c>
      <c r="I479" s="3">
        <v>0.19291841342401697</v>
      </c>
      <c r="J479">
        <f t="shared" si="8"/>
        <v>0</v>
      </c>
    </row>
    <row r="480" spans="7:10" ht="19.95" customHeight="1" x14ac:dyDescent="0.3">
      <c r="G480">
        <v>478</v>
      </c>
      <c r="H480" s="3">
        <v>-0.14007432960976704</v>
      </c>
      <c r="I480" s="3">
        <v>-0.14709176468712828</v>
      </c>
      <c r="J480">
        <f t="shared" si="8"/>
        <v>1</v>
      </c>
    </row>
    <row r="481" spans="7:10" ht="19.95" customHeight="1" x14ac:dyDescent="0.3">
      <c r="G481">
        <v>479</v>
      </c>
      <c r="H481" s="3">
        <v>0.21296536115275475</v>
      </c>
      <c r="I481" s="3">
        <v>0.27654919519635202</v>
      </c>
      <c r="J481">
        <f t="shared" si="8"/>
        <v>0</v>
      </c>
    </row>
    <row r="482" spans="7:10" ht="19.95" customHeight="1" x14ac:dyDescent="0.3">
      <c r="G482">
        <v>480</v>
      </c>
      <c r="H482" s="3">
        <v>0.18098584817387414</v>
      </c>
      <c r="I482" s="3">
        <v>0.1652749334487838</v>
      </c>
      <c r="J482">
        <f t="shared" si="8"/>
        <v>1</v>
      </c>
    </row>
    <row r="483" spans="7:10" ht="19.95" customHeight="1" x14ac:dyDescent="0.3">
      <c r="G483">
        <v>481</v>
      </c>
      <c r="H483" s="3">
        <v>0.10405264289382531</v>
      </c>
      <c r="I483" s="3">
        <v>5.6223353801899897E-2</v>
      </c>
      <c r="J483">
        <f t="shared" si="8"/>
        <v>1</v>
      </c>
    </row>
    <row r="484" spans="7:10" ht="19.95" customHeight="1" x14ac:dyDescent="0.3">
      <c r="G484">
        <v>482</v>
      </c>
      <c r="H484" s="3">
        <v>0.14414208341826676</v>
      </c>
      <c r="I484" s="3">
        <v>0.26326826125550451</v>
      </c>
      <c r="J484">
        <f t="shared" si="8"/>
        <v>0</v>
      </c>
    </row>
    <row r="485" spans="7:10" ht="19.95" customHeight="1" x14ac:dyDescent="0.3">
      <c r="G485">
        <v>483</v>
      </c>
      <c r="H485" s="3">
        <v>-0.18449755729481745</v>
      </c>
      <c r="I485" s="3">
        <v>-0.19600267898427731</v>
      </c>
      <c r="J485">
        <f t="shared" si="8"/>
        <v>1</v>
      </c>
    </row>
    <row r="486" spans="7:10" ht="19.95" customHeight="1" x14ac:dyDescent="0.3">
      <c r="G486">
        <v>484</v>
      </c>
      <c r="H486" s="3">
        <v>9.5979717388394586E-2</v>
      </c>
      <c r="I486" s="3">
        <v>4.0437994176745436E-2</v>
      </c>
      <c r="J486">
        <f t="shared" si="8"/>
        <v>1</v>
      </c>
    </row>
    <row r="487" spans="7:10" ht="19.95" customHeight="1" x14ac:dyDescent="0.3">
      <c r="G487">
        <v>485</v>
      </c>
      <c r="H487" s="3">
        <v>6.7307865106979808E-2</v>
      </c>
      <c r="I487" s="3">
        <v>-4.2907419525129865E-2</v>
      </c>
      <c r="J487">
        <f t="shared" si="8"/>
        <v>1</v>
      </c>
    </row>
    <row r="488" spans="7:10" ht="19.95" customHeight="1" x14ac:dyDescent="0.3">
      <c r="G488">
        <v>486</v>
      </c>
      <c r="H488" s="3">
        <v>9.7752588328248111E-2</v>
      </c>
      <c r="I488" s="3">
        <v>6.6380380619268903E-2</v>
      </c>
      <c r="J488">
        <f t="shared" si="8"/>
        <v>1</v>
      </c>
    </row>
    <row r="489" spans="7:10" ht="19.95" customHeight="1" x14ac:dyDescent="0.3">
      <c r="G489">
        <v>487</v>
      </c>
      <c r="H489" s="3">
        <v>0.17248725286574518</v>
      </c>
      <c r="I489" s="3">
        <v>6.5992268488765868E-2</v>
      </c>
      <c r="J489">
        <f t="shared" si="8"/>
        <v>1</v>
      </c>
    </row>
    <row r="490" spans="7:10" ht="19.95" customHeight="1" x14ac:dyDescent="0.3">
      <c r="G490">
        <v>488</v>
      </c>
      <c r="H490" s="3">
        <v>4.9923156623296307E-2</v>
      </c>
      <c r="I490" s="3">
        <v>5.2599649367465195E-2</v>
      </c>
      <c r="J490">
        <f t="shared" si="8"/>
        <v>0</v>
      </c>
    </row>
    <row r="491" spans="7:10" ht="19.95" customHeight="1" x14ac:dyDescent="0.3">
      <c r="G491">
        <v>489</v>
      </c>
      <c r="H491" s="3">
        <v>-6.5085516679625782E-2</v>
      </c>
      <c r="I491" s="3">
        <v>-1.3768704769329974E-2</v>
      </c>
      <c r="J491">
        <f t="shared" si="8"/>
        <v>0</v>
      </c>
    </row>
    <row r="492" spans="7:10" ht="19.95" customHeight="1" x14ac:dyDescent="0.3">
      <c r="G492">
        <v>490</v>
      </c>
      <c r="H492" s="3">
        <v>0.250444853032811</v>
      </c>
      <c r="I492" s="3">
        <v>0.15308053009956069</v>
      </c>
      <c r="J492">
        <f t="shared" si="8"/>
        <v>1</v>
      </c>
    </row>
    <row r="493" spans="7:10" ht="19.95" customHeight="1" x14ac:dyDescent="0.3">
      <c r="G493">
        <v>491</v>
      </c>
      <c r="H493" s="3">
        <v>8.0558633805381419E-2</v>
      </c>
      <c r="I493" s="3">
        <v>1.1176052949055841E-3</v>
      </c>
      <c r="J493">
        <f t="shared" si="8"/>
        <v>1</v>
      </c>
    </row>
    <row r="494" spans="7:10" ht="19.95" customHeight="1" x14ac:dyDescent="0.3">
      <c r="G494">
        <v>492</v>
      </c>
      <c r="H494" s="3">
        <v>-5.6953966052882199E-3</v>
      </c>
      <c r="I494" s="3">
        <v>9.5880148149698155E-2</v>
      </c>
      <c r="J494">
        <f t="shared" si="8"/>
        <v>0</v>
      </c>
    </row>
    <row r="495" spans="7:10" ht="19.95" customHeight="1" x14ac:dyDescent="0.3">
      <c r="G495">
        <v>493</v>
      </c>
      <c r="H495" s="3">
        <v>3.5424837715873222E-2</v>
      </c>
      <c r="I495" s="3">
        <v>2.2693218645682404E-2</v>
      </c>
      <c r="J495">
        <f t="shared" si="8"/>
        <v>1</v>
      </c>
    </row>
    <row r="496" spans="7:10" ht="19.95" customHeight="1" x14ac:dyDescent="0.3">
      <c r="G496">
        <v>494</v>
      </c>
      <c r="H496" s="3">
        <v>-3.215399802561774E-2</v>
      </c>
      <c r="I496" s="3">
        <v>-0.19679881558357359</v>
      </c>
      <c r="J496">
        <f t="shared" si="8"/>
        <v>1</v>
      </c>
    </row>
    <row r="497" spans="7:10" ht="19.95" customHeight="1" x14ac:dyDescent="0.3">
      <c r="G497">
        <v>495</v>
      </c>
      <c r="H497" s="3">
        <v>1.2448487857489221E-2</v>
      </c>
      <c r="I497" s="3">
        <v>0.11120965902711032</v>
      </c>
      <c r="J497">
        <f t="shared" si="8"/>
        <v>0</v>
      </c>
    </row>
    <row r="498" spans="7:10" ht="19.95" customHeight="1" x14ac:dyDescent="0.3">
      <c r="G498">
        <v>496</v>
      </c>
      <c r="H498" s="3">
        <v>1.1949708622259372E-2</v>
      </c>
      <c r="I498" s="3">
        <v>7.1981675358132213E-2</v>
      </c>
      <c r="J498">
        <f t="shared" si="8"/>
        <v>0</v>
      </c>
    </row>
    <row r="499" spans="7:10" ht="19.95" customHeight="1" x14ac:dyDescent="0.3">
      <c r="G499">
        <v>497</v>
      </c>
      <c r="H499" s="3">
        <v>0.15161476154254178</v>
      </c>
      <c r="I499" s="3">
        <v>3.8103920346324323E-2</v>
      </c>
      <c r="J499">
        <f t="shared" si="8"/>
        <v>1</v>
      </c>
    </row>
    <row r="500" spans="7:10" ht="19.95" customHeight="1" x14ac:dyDescent="0.3">
      <c r="G500">
        <v>498</v>
      </c>
      <c r="H500" s="3">
        <v>0.16000443590229543</v>
      </c>
      <c r="I500" s="3">
        <v>0.15470776208423209</v>
      </c>
      <c r="J500">
        <f t="shared" si="8"/>
        <v>1</v>
      </c>
    </row>
    <row r="501" spans="7:10" ht="19.95" customHeight="1" x14ac:dyDescent="0.3">
      <c r="G501">
        <v>499</v>
      </c>
      <c r="H501" s="3">
        <v>-1.6237992105307799E-3</v>
      </c>
      <c r="I501" s="3">
        <v>3.9251510591140265E-2</v>
      </c>
      <c r="J501">
        <f t="shared" si="8"/>
        <v>0</v>
      </c>
    </row>
    <row r="502" spans="7:10" ht="19.95" customHeight="1" x14ac:dyDescent="0.3">
      <c r="G502">
        <v>500</v>
      </c>
      <c r="H502" s="3">
        <v>7.4796145602367123E-2</v>
      </c>
      <c r="I502" s="3">
        <v>3.0118230515766134E-2</v>
      </c>
      <c r="J502">
        <f t="shared" si="8"/>
        <v>1</v>
      </c>
    </row>
    <row r="503" spans="7:10" ht="19.95" customHeight="1" x14ac:dyDescent="0.3">
      <c r="G503">
        <v>501</v>
      </c>
      <c r="H503" s="3">
        <v>8.623852724351512E-2</v>
      </c>
      <c r="I503" s="3">
        <v>0.25807918714422751</v>
      </c>
      <c r="J503">
        <f t="shared" si="8"/>
        <v>0</v>
      </c>
    </row>
    <row r="504" spans="7:10" ht="19.95" customHeight="1" x14ac:dyDescent="0.3">
      <c r="G504">
        <v>502</v>
      </c>
      <c r="H504" s="3">
        <v>-7.9640034757084005E-3</v>
      </c>
      <c r="I504" s="3">
        <v>1.9839842680255362E-2</v>
      </c>
      <c r="J504">
        <f t="shared" si="8"/>
        <v>0</v>
      </c>
    </row>
    <row r="505" spans="7:10" ht="19.95" customHeight="1" x14ac:dyDescent="0.3">
      <c r="G505">
        <v>503</v>
      </c>
      <c r="H505" s="3">
        <v>1.4411320864772936E-2</v>
      </c>
      <c r="I505" s="3">
        <v>-3.4436286011866567E-2</v>
      </c>
      <c r="J505">
        <f t="shared" si="8"/>
        <v>1</v>
      </c>
    </row>
    <row r="506" spans="7:10" ht="19.95" customHeight="1" x14ac:dyDescent="0.3">
      <c r="G506">
        <v>504</v>
      </c>
      <c r="H506" s="3">
        <v>0.10917045503809436</v>
      </c>
      <c r="I506" s="3">
        <v>8.2361777246649073E-2</v>
      </c>
      <c r="J506">
        <f t="shared" si="8"/>
        <v>1</v>
      </c>
    </row>
    <row r="507" spans="7:10" ht="19.95" customHeight="1" x14ac:dyDescent="0.3">
      <c r="G507">
        <v>505</v>
      </c>
      <c r="H507" s="3">
        <v>3.6093185848484546E-2</v>
      </c>
      <c r="I507" s="3">
        <v>1.8311756653055972E-2</v>
      </c>
      <c r="J507">
        <f t="shared" si="8"/>
        <v>1</v>
      </c>
    </row>
    <row r="508" spans="7:10" ht="19.95" customHeight="1" x14ac:dyDescent="0.3">
      <c r="G508">
        <v>506</v>
      </c>
      <c r="H508" s="3">
        <v>-1.6066688903250692E-2</v>
      </c>
      <c r="I508" s="3">
        <v>-6.0680671214938482E-2</v>
      </c>
      <c r="J508">
        <f t="shared" si="8"/>
        <v>1</v>
      </c>
    </row>
    <row r="509" spans="7:10" ht="19.95" customHeight="1" x14ac:dyDescent="0.3">
      <c r="G509">
        <v>507</v>
      </c>
      <c r="H509" s="3">
        <v>-3.4324126026440242E-2</v>
      </c>
      <c r="I509" s="3">
        <v>-2.5620518674301904E-2</v>
      </c>
      <c r="J509">
        <f t="shared" si="8"/>
        <v>0</v>
      </c>
    </row>
    <row r="510" spans="7:10" ht="19.95" customHeight="1" x14ac:dyDescent="0.3">
      <c r="G510">
        <v>508</v>
      </c>
      <c r="H510" s="3">
        <v>0.2005536388876954</v>
      </c>
      <c r="I510" s="3">
        <v>0.28688650184453818</v>
      </c>
      <c r="J510">
        <f t="shared" si="8"/>
        <v>0</v>
      </c>
    </row>
    <row r="511" spans="7:10" ht="19.95" customHeight="1" x14ac:dyDescent="0.3">
      <c r="G511">
        <v>509</v>
      </c>
      <c r="H511" s="3">
        <v>6.2082562575325753E-2</v>
      </c>
      <c r="I511" s="3">
        <v>7.3633293173571718E-3</v>
      </c>
      <c r="J511">
        <f t="shared" si="8"/>
        <v>1</v>
      </c>
    </row>
    <row r="512" spans="7:10" ht="19.95" customHeight="1" x14ac:dyDescent="0.3">
      <c r="G512">
        <v>510</v>
      </c>
      <c r="H512" s="3">
        <v>-0.11845556714978227</v>
      </c>
      <c r="I512" s="3">
        <v>-0.17615064287459856</v>
      </c>
      <c r="J512">
        <f t="shared" si="8"/>
        <v>1</v>
      </c>
    </row>
    <row r="513" spans="7:10" ht="19.95" customHeight="1" x14ac:dyDescent="0.3">
      <c r="G513">
        <v>511</v>
      </c>
      <c r="H513" s="3">
        <v>5.7792525311239969E-2</v>
      </c>
      <c r="I513" s="3">
        <v>8.6097470667443388E-2</v>
      </c>
      <c r="J513">
        <f t="shared" si="8"/>
        <v>0</v>
      </c>
    </row>
    <row r="514" spans="7:10" ht="19.95" customHeight="1" x14ac:dyDescent="0.3">
      <c r="G514">
        <v>512</v>
      </c>
      <c r="H514" s="3">
        <v>9.6251281058401472E-2</v>
      </c>
      <c r="I514" s="3">
        <v>8.8033597689404275E-2</v>
      </c>
      <c r="J514">
        <f t="shared" si="8"/>
        <v>1</v>
      </c>
    </row>
    <row r="515" spans="7:10" ht="19.95" customHeight="1" x14ac:dyDescent="0.3">
      <c r="G515">
        <v>513</v>
      </c>
      <c r="H515" s="3">
        <v>0.1065290684869675</v>
      </c>
      <c r="I515" s="3">
        <v>3.7656515625936159E-3</v>
      </c>
      <c r="J515">
        <f t="shared" si="8"/>
        <v>1</v>
      </c>
    </row>
    <row r="516" spans="7:10" ht="19.95" customHeight="1" x14ac:dyDescent="0.3">
      <c r="G516">
        <v>514</v>
      </c>
      <c r="H516" s="3">
        <v>-8.7774567395642891E-2</v>
      </c>
      <c r="I516" s="3">
        <v>-0.15889499185112937</v>
      </c>
      <c r="J516">
        <f t="shared" ref="J516:J579" si="9">IF(H516&gt;I516,1,0)</f>
        <v>1</v>
      </c>
    </row>
    <row r="517" spans="7:10" ht="19.95" customHeight="1" x14ac:dyDescent="0.3">
      <c r="G517">
        <v>515</v>
      </c>
      <c r="H517" s="3">
        <v>3.299408862070366E-2</v>
      </c>
      <c r="I517" s="3">
        <v>9.6574235052753962E-2</v>
      </c>
      <c r="J517">
        <f t="shared" si="9"/>
        <v>0</v>
      </c>
    </row>
    <row r="518" spans="7:10" ht="19.95" customHeight="1" x14ac:dyDescent="0.3">
      <c r="G518">
        <v>516</v>
      </c>
      <c r="H518" s="3">
        <v>5.6179871232086412E-2</v>
      </c>
      <c r="I518" s="3">
        <v>1.1076897255518895E-2</v>
      </c>
      <c r="J518">
        <f t="shared" si="9"/>
        <v>1</v>
      </c>
    </row>
    <row r="519" spans="7:10" ht="19.95" customHeight="1" x14ac:dyDescent="0.3">
      <c r="G519">
        <v>517</v>
      </c>
      <c r="H519" s="3">
        <v>8.5677038950567094E-2</v>
      </c>
      <c r="I519" s="3">
        <v>6.2551953748494926E-2</v>
      </c>
      <c r="J519">
        <f t="shared" si="9"/>
        <v>1</v>
      </c>
    </row>
    <row r="520" spans="7:10" ht="19.95" customHeight="1" x14ac:dyDescent="0.3">
      <c r="G520">
        <v>518</v>
      </c>
      <c r="H520" s="3">
        <v>5.1656390901250529E-4</v>
      </c>
      <c r="I520" s="3">
        <v>0.16992077475079351</v>
      </c>
      <c r="J520">
        <f t="shared" si="9"/>
        <v>0</v>
      </c>
    </row>
    <row r="521" spans="7:10" ht="19.95" customHeight="1" x14ac:dyDescent="0.3">
      <c r="G521">
        <v>519</v>
      </c>
      <c r="H521" s="3">
        <v>1.9776508551351518E-2</v>
      </c>
      <c r="I521" s="3">
        <v>-2.7552559874213241E-2</v>
      </c>
      <c r="J521">
        <f t="shared" si="9"/>
        <v>1</v>
      </c>
    </row>
    <row r="522" spans="7:10" ht="19.95" customHeight="1" x14ac:dyDescent="0.3">
      <c r="G522">
        <v>520</v>
      </c>
      <c r="H522" s="3">
        <v>4.8002273444374549E-3</v>
      </c>
      <c r="I522" s="3">
        <v>-4.178590488394094E-2</v>
      </c>
      <c r="J522">
        <f t="shared" si="9"/>
        <v>1</v>
      </c>
    </row>
    <row r="523" spans="7:10" ht="19.95" customHeight="1" x14ac:dyDescent="0.3">
      <c r="G523">
        <v>521</v>
      </c>
      <c r="H523" s="3">
        <v>-9.9995337526966141E-2</v>
      </c>
      <c r="I523" s="3">
        <v>1.2149598524597422E-2</v>
      </c>
      <c r="J523">
        <f t="shared" si="9"/>
        <v>0</v>
      </c>
    </row>
    <row r="524" spans="7:10" ht="19.95" customHeight="1" x14ac:dyDescent="0.3">
      <c r="G524">
        <v>522</v>
      </c>
      <c r="H524" s="3">
        <v>-3.3215129059651423E-3</v>
      </c>
      <c r="I524" s="3">
        <v>2.7913106395660293E-2</v>
      </c>
      <c r="J524">
        <f t="shared" si="9"/>
        <v>0</v>
      </c>
    </row>
    <row r="525" spans="7:10" ht="19.95" customHeight="1" x14ac:dyDescent="0.3">
      <c r="G525">
        <v>523</v>
      </c>
      <c r="H525" s="3">
        <v>-3.9501389271743459E-2</v>
      </c>
      <c r="I525" s="3">
        <v>-3.7271553018551479E-3</v>
      </c>
      <c r="J525">
        <f t="shared" si="9"/>
        <v>0</v>
      </c>
    </row>
    <row r="526" spans="7:10" ht="19.95" customHeight="1" x14ac:dyDescent="0.3">
      <c r="G526">
        <v>524</v>
      </c>
      <c r="H526" s="3">
        <v>4.7382046264236588E-2</v>
      </c>
      <c r="I526" s="3">
        <v>-1.4331965571910719E-2</v>
      </c>
      <c r="J526">
        <f t="shared" si="9"/>
        <v>1</v>
      </c>
    </row>
    <row r="527" spans="7:10" ht="19.95" customHeight="1" x14ac:dyDescent="0.3">
      <c r="G527">
        <v>525</v>
      </c>
      <c r="H527" s="3">
        <v>0.13784105564380567</v>
      </c>
      <c r="I527" s="3">
        <v>0.13089113180593007</v>
      </c>
      <c r="J527">
        <f t="shared" si="9"/>
        <v>1</v>
      </c>
    </row>
    <row r="528" spans="7:10" ht="19.95" customHeight="1" x14ac:dyDescent="0.3">
      <c r="G528">
        <v>526</v>
      </c>
      <c r="H528" s="3">
        <v>0.18153026666150421</v>
      </c>
      <c r="I528" s="3">
        <v>0.19114502408861539</v>
      </c>
      <c r="J528">
        <f t="shared" si="9"/>
        <v>0</v>
      </c>
    </row>
    <row r="529" spans="7:10" ht="19.95" customHeight="1" x14ac:dyDescent="0.3">
      <c r="G529">
        <v>527</v>
      </c>
      <c r="H529" s="3">
        <v>-0.10754051015459327</v>
      </c>
      <c r="I529" s="3">
        <v>-9.0354988255790317E-2</v>
      </c>
      <c r="J529">
        <f t="shared" si="9"/>
        <v>0</v>
      </c>
    </row>
    <row r="530" spans="7:10" ht="19.95" customHeight="1" x14ac:dyDescent="0.3">
      <c r="G530">
        <v>528</v>
      </c>
      <c r="H530" s="3">
        <v>5.5103912970260086E-2</v>
      </c>
      <c r="I530" s="3">
        <v>6.0536428250574245E-2</v>
      </c>
      <c r="J530">
        <f t="shared" si="9"/>
        <v>0</v>
      </c>
    </row>
    <row r="531" spans="7:10" ht="19.95" customHeight="1" x14ac:dyDescent="0.3">
      <c r="G531">
        <v>529</v>
      </c>
      <c r="H531" s="3">
        <v>-8.3296406519598687E-2</v>
      </c>
      <c r="I531" s="3">
        <v>-6.2044608325822315E-2</v>
      </c>
      <c r="J531">
        <f t="shared" si="9"/>
        <v>0</v>
      </c>
    </row>
    <row r="532" spans="7:10" ht="19.95" customHeight="1" x14ac:dyDescent="0.3">
      <c r="G532">
        <v>530</v>
      </c>
      <c r="H532" s="3">
        <v>7.041715754216829E-2</v>
      </c>
      <c r="I532" s="3">
        <v>0.15894058799869312</v>
      </c>
      <c r="J532">
        <f t="shared" si="9"/>
        <v>0</v>
      </c>
    </row>
    <row r="533" spans="7:10" ht="19.95" customHeight="1" x14ac:dyDescent="0.3">
      <c r="G533">
        <v>531</v>
      </c>
      <c r="H533" s="3">
        <v>2.5830462777403376E-2</v>
      </c>
      <c r="I533" s="3">
        <v>0.10194845699601209</v>
      </c>
      <c r="J533">
        <f t="shared" si="9"/>
        <v>0</v>
      </c>
    </row>
    <row r="534" spans="7:10" ht="19.95" customHeight="1" x14ac:dyDescent="0.3">
      <c r="G534">
        <v>532</v>
      </c>
      <c r="H534" s="3">
        <v>4.8090700754963037E-2</v>
      </c>
      <c r="I534" s="3">
        <v>1.3975451489216287E-2</v>
      </c>
      <c r="J534">
        <f t="shared" si="9"/>
        <v>1</v>
      </c>
    </row>
    <row r="535" spans="7:10" ht="19.95" customHeight="1" x14ac:dyDescent="0.3">
      <c r="G535">
        <v>533</v>
      </c>
      <c r="H535" s="3">
        <v>3.4890487047124934E-2</v>
      </c>
      <c r="I535" s="3">
        <v>-1.3071381215903734E-2</v>
      </c>
      <c r="J535">
        <f t="shared" si="9"/>
        <v>1</v>
      </c>
    </row>
    <row r="536" spans="7:10" ht="19.95" customHeight="1" x14ac:dyDescent="0.3">
      <c r="G536">
        <v>534</v>
      </c>
      <c r="H536" s="3">
        <v>6.3002099234847023E-2</v>
      </c>
      <c r="I536" s="3">
        <v>9.4449656715692415E-2</v>
      </c>
      <c r="J536">
        <f t="shared" si="9"/>
        <v>0</v>
      </c>
    </row>
    <row r="537" spans="7:10" ht="19.95" customHeight="1" x14ac:dyDescent="0.3">
      <c r="G537">
        <v>535</v>
      </c>
      <c r="H537" s="3">
        <v>1.7640392294530358E-3</v>
      </c>
      <c r="I537" s="3">
        <v>-7.5749866393646989E-2</v>
      </c>
      <c r="J537">
        <f t="shared" si="9"/>
        <v>1</v>
      </c>
    </row>
    <row r="538" spans="7:10" ht="19.95" customHeight="1" x14ac:dyDescent="0.3">
      <c r="G538">
        <v>536</v>
      </c>
      <c r="H538" s="3">
        <v>0.11015277207136311</v>
      </c>
      <c r="I538" s="3">
        <v>7.9265295734238767E-2</v>
      </c>
      <c r="J538">
        <f t="shared" si="9"/>
        <v>1</v>
      </c>
    </row>
    <row r="539" spans="7:10" ht="19.95" customHeight="1" x14ac:dyDescent="0.3">
      <c r="G539">
        <v>537</v>
      </c>
      <c r="H539" s="3">
        <v>0.13875413243179741</v>
      </c>
      <c r="I539" s="3">
        <v>9.4913011868424893E-2</v>
      </c>
      <c r="J539">
        <f t="shared" si="9"/>
        <v>1</v>
      </c>
    </row>
    <row r="540" spans="7:10" ht="19.95" customHeight="1" x14ac:dyDescent="0.3">
      <c r="G540">
        <v>538</v>
      </c>
      <c r="H540" s="3">
        <v>0.11538326293123147</v>
      </c>
      <c r="I540" s="3">
        <v>0.16800111738492451</v>
      </c>
      <c r="J540">
        <f t="shared" si="9"/>
        <v>0</v>
      </c>
    </row>
    <row r="541" spans="7:10" ht="19.95" customHeight="1" x14ac:dyDescent="0.3">
      <c r="G541">
        <v>539</v>
      </c>
      <c r="H541" s="3">
        <v>1.7838021088052373E-2</v>
      </c>
      <c r="I541" s="3">
        <v>0.11967775455212173</v>
      </c>
      <c r="J541">
        <f t="shared" si="9"/>
        <v>0</v>
      </c>
    </row>
    <row r="542" spans="7:10" ht="19.95" customHeight="1" x14ac:dyDescent="0.3">
      <c r="G542">
        <v>540</v>
      </c>
      <c r="H542" s="3">
        <v>8.3685871168754353E-2</v>
      </c>
      <c r="I542" s="3">
        <v>2.8715193143660021E-2</v>
      </c>
      <c r="J542">
        <f t="shared" si="9"/>
        <v>1</v>
      </c>
    </row>
    <row r="543" spans="7:10" ht="19.95" customHeight="1" x14ac:dyDescent="0.3">
      <c r="G543">
        <v>541</v>
      </c>
      <c r="H543" s="3">
        <v>1.9603586308985191E-2</v>
      </c>
      <c r="I543" s="3">
        <v>-7.2851174686614714E-2</v>
      </c>
      <c r="J543">
        <f t="shared" si="9"/>
        <v>1</v>
      </c>
    </row>
    <row r="544" spans="7:10" ht="19.95" customHeight="1" x14ac:dyDescent="0.3">
      <c r="G544">
        <v>542</v>
      </c>
      <c r="H544" s="3">
        <v>0.11714635322893044</v>
      </c>
      <c r="I544" s="3">
        <v>1.3234777448732356E-2</v>
      </c>
      <c r="J544">
        <f t="shared" si="9"/>
        <v>1</v>
      </c>
    </row>
    <row r="545" spans="7:10" ht="19.95" customHeight="1" x14ac:dyDescent="0.3">
      <c r="G545">
        <v>543</v>
      </c>
      <c r="H545" s="3">
        <v>-4.9326256460280576E-2</v>
      </c>
      <c r="I545" s="3">
        <v>1.2545685761480199E-2</v>
      </c>
      <c r="J545">
        <f t="shared" si="9"/>
        <v>0</v>
      </c>
    </row>
    <row r="546" spans="7:10" ht="19.95" customHeight="1" x14ac:dyDescent="0.3">
      <c r="G546">
        <v>544</v>
      </c>
      <c r="H546" s="3">
        <v>-3.2754029973673784E-2</v>
      </c>
      <c r="I546" s="3">
        <v>-2.1552478237239225E-2</v>
      </c>
      <c r="J546">
        <f t="shared" si="9"/>
        <v>0</v>
      </c>
    </row>
    <row r="547" spans="7:10" ht="19.95" customHeight="1" x14ac:dyDescent="0.3">
      <c r="G547">
        <v>545</v>
      </c>
      <c r="H547" s="3">
        <v>0.2044796011538397</v>
      </c>
      <c r="I547" s="3">
        <v>0.22829843665637065</v>
      </c>
      <c r="J547">
        <f t="shared" si="9"/>
        <v>0</v>
      </c>
    </row>
    <row r="548" spans="7:10" ht="19.95" customHeight="1" x14ac:dyDescent="0.3">
      <c r="G548">
        <v>546</v>
      </c>
      <c r="H548" s="3">
        <v>4.6296497564841388E-3</v>
      </c>
      <c r="I548" s="3">
        <v>-1.9011393161114089E-2</v>
      </c>
      <c r="J548">
        <f t="shared" si="9"/>
        <v>1</v>
      </c>
    </row>
    <row r="549" spans="7:10" ht="19.95" customHeight="1" x14ac:dyDescent="0.3">
      <c r="G549">
        <v>547</v>
      </c>
      <c r="H549" s="3">
        <v>-0.12932750242001118</v>
      </c>
      <c r="I549" s="3">
        <v>-4.3082736085808667E-3</v>
      </c>
      <c r="J549">
        <f t="shared" si="9"/>
        <v>0</v>
      </c>
    </row>
    <row r="550" spans="7:10" ht="19.95" customHeight="1" x14ac:dyDescent="0.3">
      <c r="G550">
        <v>548</v>
      </c>
      <c r="H550" s="3">
        <v>-2.8776148139189328E-3</v>
      </c>
      <c r="I550" s="3">
        <v>-5.0017206925762676E-2</v>
      </c>
      <c r="J550">
        <f t="shared" si="9"/>
        <v>1</v>
      </c>
    </row>
    <row r="551" spans="7:10" ht="19.95" customHeight="1" x14ac:dyDescent="0.3">
      <c r="G551">
        <v>549</v>
      </c>
      <c r="H551" s="3">
        <v>8.9817147403516928E-2</v>
      </c>
      <c r="I551" s="3">
        <v>1.550083699403894E-2</v>
      </c>
      <c r="J551">
        <f t="shared" si="9"/>
        <v>1</v>
      </c>
    </row>
    <row r="552" spans="7:10" ht="19.95" customHeight="1" x14ac:dyDescent="0.3">
      <c r="G552">
        <v>550</v>
      </c>
      <c r="H552" s="3">
        <v>9.2431591663967486E-2</v>
      </c>
      <c r="I552" s="3">
        <v>0.11137405914482346</v>
      </c>
      <c r="J552">
        <f t="shared" si="9"/>
        <v>0</v>
      </c>
    </row>
    <row r="553" spans="7:10" ht="19.95" customHeight="1" x14ac:dyDescent="0.3">
      <c r="G553">
        <v>551</v>
      </c>
      <c r="H553" s="3">
        <v>-6.9197558999036707E-2</v>
      </c>
      <c r="I553" s="3">
        <v>-0.14675732728347884</v>
      </c>
      <c r="J553">
        <f t="shared" si="9"/>
        <v>1</v>
      </c>
    </row>
    <row r="554" spans="7:10" ht="19.95" customHeight="1" x14ac:dyDescent="0.3">
      <c r="G554">
        <v>552</v>
      </c>
      <c r="H554" s="3">
        <v>8.1517455925798343E-2</v>
      </c>
      <c r="I554" s="3">
        <v>-0.13084055914782211</v>
      </c>
      <c r="J554">
        <f t="shared" si="9"/>
        <v>1</v>
      </c>
    </row>
    <row r="555" spans="7:10" ht="19.95" customHeight="1" x14ac:dyDescent="0.3">
      <c r="G555">
        <v>553</v>
      </c>
      <c r="H555" s="3">
        <v>2.5723478765884249E-2</v>
      </c>
      <c r="I555" s="3">
        <v>-1.3842084107020839E-2</v>
      </c>
      <c r="J555">
        <f t="shared" si="9"/>
        <v>1</v>
      </c>
    </row>
    <row r="556" spans="7:10" ht="19.95" customHeight="1" x14ac:dyDescent="0.3">
      <c r="G556">
        <v>554</v>
      </c>
      <c r="H556" s="3">
        <v>-0.10594498163137371</v>
      </c>
      <c r="I556" s="3">
        <v>-0.1172411071291424</v>
      </c>
      <c r="J556">
        <f t="shared" si="9"/>
        <v>1</v>
      </c>
    </row>
    <row r="557" spans="7:10" ht="19.95" customHeight="1" x14ac:dyDescent="0.3">
      <c r="G557">
        <v>555</v>
      </c>
      <c r="H557" s="3">
        <v>0.13658160901205266</v>
      </c>
      <c r="I557" s="3">
        <v>3.8229065187669775E-2</v>
      </c>
      <c r="J557">
        <f t="shared" si="9"/>
        <v>1</v>
      </c>
    </row>
    <row r="558" spans="7:10" ht="19.95" customHeight="1" x14ac:dyDescent="0.3">
      <c r="G558">
        <v>556</v>
      </c>
      <c r="H558" s="3">
        <v>-0.17356121744458886</v>
      </c>
      <c r="I558" s="3">
        <v>-0.1262403247115777</v>
      </c>
      <c r="J558">
        <f t="shared" si="9"/>
        <v>0</v>
      </c>
    </row>
    <row r="559" spans="7:10" ht="19.95" customHeight="1" x14ac:dyDescent="0.3">
      <c r="G559">
        <v>557</v>
      </c>
      <c r="H559" s="3">
        <v>6.8832363734966165E-3</v>
      </c>
      <c r="I559" s="3">
        <v>-0.10880334672618387</v>
      </c>
      <c r="J559">
        <f t="shared" si="9"/>
        <v>1</v>
      </c>
    </row>
    <row r="560" spans="7:10" ht="19.95" customHeight="1" x14ac:dyDescent="0.3">
      <c r="G560">
        <v>558</v>
      </c>
      <c r="H560" s="3">
        <v>-9.3269756097864642E-2</v>
      </c>
      <c r="I560" s="3">
        <v>3.756955057746144E-3</v>
      </c>
      <c r="J560">
        <f t="shared" si="9"/>
        <v>0</v>
      </c>
    </row>
    <row r="561" spans="7:10" ht="19.95" customHeight="1" x14ac:dyDescent="0.3">
      <c r="G561">
        <v>559</v>
      </c>
      <c r="H561" s="3">
        <v>-6.3062176075672743E-2</v>
      </c>
      <c r="I561" s="3">
        <v>5.5713406082928574E-2</v>
      </c>
      <c r="J561">
        <f t="shared" si="9"/>
        <v>0</v>
      </c>
    </row>
    <row r="562" spans="7:10" ht="19.95" customHeight="1" x14ac:dyDescent="0.3">
      <c r="G562">
        <v>560</v>
      </c>
      <c r="H562" s="3">
        <v>3.2774673687586763E-2</v>
      </c>
      <c r="I562" s="3">
        <v>0.10098141179669648</v>
      </c>
      <c r="J562">
        <f t="shared" si="9"/>
        <v>0</v>
      </c>
    </row>
    <row r="563" spans="7:10" ht="19.95" customHeight="1" x14ac:dyDescent="0.3">
      <c r="G563">
        <v>561</v>
      </c>
      <c r="H563" s="3">
        <v>3.2366189292550251E-2</v>
      </c>
      <c r="I563" s="3">
        <v>-4.4455790640778085E-2</v>
      </c>
      <c r="J563">
        <f t="shared" si="9"/>
        <v>1</v>
      </c>
    </row>
    <row r="564" spans="7:10" ht="19.95" customHeight="1" x14ac:dyDescent="0.3">
      <c r="G564">
        <v>562</v>
      </c>
      <c r="H564" s="3">
        <v>0.1350155578800725</v>
      </c>
      <c r="I564" s="3">
        <v>7.5946262472093504E-2</v>
      </c>
      <c r="J564">
        <f t="shared" si="9"/>
        <v>1</v>
      </c>
    </row>
    <row r="565" spans="7:10" ht="19.95" customHeight="1" x14ac:dyDescent="0.3">
      <c r="G565">
        <v>563</v>
      </c>
      <c r="H565" s="3">
        <v>0.14588784799099822</v>
      </c>
      <c r="I565" s="3">
        <v>0.26645206818636158</v>
      </c>
      <c r="J565">
        <f t="shared" si="9"/>
        <v>0</v>
      </c>
    </row>
    <row r="566" spans="7:10" ht="19.95" customHeight="1" x14ac:dyDescent="0.3">
      <c r="G566">
        <v>564</v>
      </c>
      <c r="H566" s="3">
        <v>-3.8238164949512564E-2</v>
      </c>
      <c r="I566" s="3">
        <v>-5.1654569319869802E-2</v>
      </c>
      <c r="J566">
        <f t="shared" si="9"/>
        <v>1</v>
      </c>
    </row>
    <row r="567" spans="7:10" ht="19.95" customHeight="1" x14ac:dyDescent="0.3">
      <c r="G567">
        <v>565</v>
      </c>
      <c r="H567" s="3">
        <v>4.0044169455065344E-2</v>
      </c>
      <c r="I567" s="3">
        <v>-6.7003831392918517E-2</v>
      </c>
      <c r="J567">
        <f t="shared" si="9"/>
        <v>1</v>
      </c>
    </row>
    <row r="568" spans="7:10" ht="19.95" customHeight="1" x14ac:dyDescent="0.3">
      <c r="G568">
        <v>566</v>
      </c>
      <c r="H568" s="3">
        <v>3.6843269036790013E-3</v>
      </c>
      <c r="I568" s="3">
        <v>-3.3827959596525327E-2</v>
      </c>
      <c r="J568">
        <f t="shared" si="9"/>
        <v>1</v>
      </c>
    </row>
    <row r="569" spans="7:10" ht="19.95" customHeight="1" x14ac:dyDescent="0.3">
      <c r="G569">
        <v>567</v>
      </c>
      <c r="H569" s="3">
        <v>0.16090274169034682</v>
      </c>
      <c r="I569" s="3">
        <v>0.16694642669016224</v>
      </c>
      <c r="J569">
        <f t="shared" si="9"/>
        <v>0</v>
      </c>
    </row>
    <row r="570" spans="7:10" ht="19.95" customHeight="1" x14ac:dyDescent="0.3">
      <c r="G570">
        <v>568</v>
      </c>
      <c r="H570" s="3">
        <v>1.8903548374153339E-2</v>
      </c>
      <c r="I570" s="3">
        <v>6.8803272825876893E-2</v>
      </c>
      <c r="J570">
        <f t="shared" si="9"/>
        <v>0</v>
      </c>
    </row>
    <row r="571" spans="7:10" ht="19.95" customHeight="1" x14ac:dyDescent="0.3">
      <c r="G571">
        <v>569</v>
      </c>
      <c r="H571" s="3">
        <v>-0.11011861539288199</v>
      </c>
      <c r="I571" s="3">
        <v>-4.3490727254232545E-2</v>
      </c>
      <c r="J571">
        <f t="shared" si="9"/>
        <v>0</v>
      </c>
    </row>
    <row r="572" spans="7:10" ht="19.95" customHeight="1" x14ac:dyDescent="0.3">
      <c r="G572">
        <v>570</v>
      </c>
      <c r="H572" s="3">
        <v>-2.671015200687981E-2</v>
      </c>
      <c r="I572" s="3">
        <v>4.6965580496198062E-2</v>
      </c>
      <c r="J572">
        <f t="shared" si="9"/>
        <v>0</v>
      </c>
    </row>
    <row r="573" spans="7:10" ht="19.95" customHeight="1" x14ac:dyDescent="0.3">
      <c r="G573">
        <v>571</v>
      </c>
      <c r="H573" s="3">
        <v>2.7010307780296818E-2</v>
      </c>
      <c r="I573" s="3">
        <v>2.6582946462165025E-2</v>
      </c>
      <c r="J573">
        <f t="shared" si="9"/>
        <v>1</v>
      </c>
    </row>
    <row r="574" spans="7:10" ht="19.95" customHeight="1" x14ac:dyDescent="0.3">
      <c r="G574">
        <v>572</v>
      </c>
      <c r="H574" s="3">
        <v>0.11896982285652148</v>
      </c>
      <c r="I574" s="3">
        <v>0.15637754891408701</v>
      </c>
      <c r="J574">
        <f t="shared" si="9"/>
        <v>0</v>
      </c>
    </row>
    <row r="575" spans="7:10" ht="19.95" customHeight="1" x14ac:dyDescent="0.3">
      <c r="G575">
        <v>573</v>
      </c>
      <c r="H575" s="3">
        <v>0.16744934280337023</v>
      </c>
      <c r="I575" s="3">
        <v>0.10579974807022903</v>
      </c>
      <c r="J575">
        <f t="shared" si="9"/>
        <v>1</v>
      </c>
    </row>
    <row r="576" spans="7:10" ht="19.95" customHeight="1" x14ac:dyDescent="0.3">
      <c r="G576">
        <v>574</v>
      </c>
      <c r="H576" s="3">
        <v>0.12683660118036649</v>
      </c>
      <c r="I576" s="3">
        <v>0.2940922337619466</v>
      </c>
      <c r="J576">
        <f t="shared" si="9"/>
        <v>0</v>
      </c>
    </row>
    <row r="577" spans="7:10" ht="19.95" customHeight="1" x14ac:dyDescent="0.3">
      <c r="G577">
        <v>575</v>
      </c>
      <c r="H577" s="3">
        <v>-2.287775490701624E-2</v>
      </c>
      <c r="I577" s="3">
        <v>0.11180208382963899</v>
      </c>
      <c r="J577">
        <f t="shared" si="9"/>
        <v>0</v>
      </c>
    </row>
    <row r="578" spans="7:10" ht="19.95" customHeight="1" x14ac:dyDescent="0.3">
      <c r="G578">
        <v>576</v>
      </c>
      <c r="H578" s="3">
        <v>8.6806520043285748E-2</v>
      </c>
      <c r="I578" s="3">
        <v>8.2483575021992162E-2</v>
      </c>
      <c r="J578">
        <f t="shared" si="9"/>
        <v>1</v>
      </c>
    </row>
    <row r="579" spans="7:10" ht="19.95" customHeight="1" x14ac:dyDescent="0.3">
      <c r="G579">
        <v>577</v>
      </c>
      <c r="H579" s="3">
        <v>0.20049679453219355</v>
      </c>
      <c r="I579" s="3">
        <v>0.20814590576463035</v>
      </c>
      <c r="J579">
        <f t="shared" si="9"/>
        <v>0</v>
      </c>
    </row>
    <row r="580" spans="7:10" ht="19.95" customHeight="1" x14ac:dyDescent="0.3">
      <c r="G580">
        <v>578</v>
      </c>
      <c r="H580" s="3">
        <v>-0.12062727613395324</v>
      </c>
      <c r="I580" s="3">
        <v>-7.1101134833495935E-2</v>
      </c>
      <c r="J580">
        <f t="shared" ref="J580:J643" si="10">IF(H580&gt;I580,1,0)</f>
        <v>0</v>
      </c>
    </row>
    <row r="581" spans="7:10" ht="19.95" customHeight="1" x14ac:dyDescent="0.3">
      <c r="G581">
        <v>579</v>
      </c>
      <c r="H581" s="3">
        <v>0.13861370769429632</v>
      </c>
      <c r="I581" s="3">
        <v>0.10805633361160537</v>
      </c>
      <c r="J581">
        <f t="shared" si="10"/>
        <v>1</v>
      </c>
    </row>
    <row r="582" spans="7:10" ht="19.95" customHeight="1" x14ac:dyDescent="0.3">
      <c r="G582">
        <v>580</v>
      </c>
      <c r="H582" s="3">
        <v>-4.9591397920701941E-2</v>
      </c>
      <c r="I582" s="3">
        <v>-2.624088379738165E-2</v>
      </c>
      <c r="J582">
        <f t="shared" si="10"/>
        <v>0</v>
      </c>
    </row>
    <row r="583" spans="7:10" ht="19.95" customHeight="1" x14ac:dyDescent="0.3">
      <c r="G583">
        <v>581</v>
      </c>
      <c r="H583" s="3">
        <v>-1.1875106891371948E-2</v>
      </c>
      <c r="I583" s="3">
        <v>3.5827041774016501E-2</v>
      </c>
      <c r="J583">
        <f t="shared" si="10"/>
        <v>0</v>
      </c>
    </row>
    <row r="584" spans="7:10" ht="19.95" customHeight="1" x14ac:dyDescent="0.3">
      <c r="G584">
        <v>582</v>
      </c>
      <c r="H584" s="3">
        <v>-7.6916942225176574E-2</v>
      </c>
      <c r="I584" s="3">
        <v>7.0783110287183319E-3</v>
      </c>
      <c r="J584">
        <f t="shared" si="10"/>
        <v>0</v>
      </c>
    </row>
    <row r="585" spans="7:10" ht="19.95" customHeight="1" x14ac:dyDescent="0.3">
      <c r="G585">
        <v>583</v>
      </c>
      <c r="H585" s="3">
        <v>-2.5002999594899846E-2</v>
      </c>
      <c r="I585" s="3">
        <v>-2.2183651373545055E-2</v>
      </c>
      <c r="J585">
        <f t="shared" si="10"/>
        <v>0</v>
      </c>
    </row>
    <row r="586" spans="7:10" ht="19.95" customHeight="1" x14ac:dyDescent="0.3">
      <c r="G586">
        <v>584</v>
      </c>
      <c r="H586" s="3">
        <v>0.12440319233567838</v>
      </c>
      <c r="I586" s="3">
        <v>0.10407491646451617</v>
      </c>
      <c r="J586">
        <f t="shared" si="10"/>
        <v>1</v>
      </c>
    </row>
    <row r="587" spans="7:10" ht="19.95" customHeight="1" x14ac:dyDescent="0.3">
      <c r="G587">
        <v>585</v>
      </c>
      <c r="H587" s="3">
        <v>0.14334820806296811</v>
      </c>
      <c r="I587" s="3">
        <v>0.15794978024890241</v>
      </c>
      <c r="J587">
        <f t="shared" si="10"/>
        <v>0</v>
      </c>
    </row>
    <row r="588" spans="7:10" ht="19.95" customHeight="1" x14ac:dyDescent="0.3">
      <c r="G588">
        <v>586</v>
      </c>
      <c r="H588" s="3">
        <v>-6.8384670846249496E-2</v>
      </c>
      <c r="I588" s="3">
        <v>-2.5982428921560802E-2</v>
      </c>
      <c r="J588">
        <f t="shared" si="10"/>
        <v>0</v>
      </c>
    </row>
    <row r="589" spans="7:10" ht="19.95" customHeight="1" x14ac:dyDescent="0.3">
      <c r="G589">
        <v>587</v>
      </c>
      <c r="H589" s="3">
        <v>0.18323764200190179</v>
      </c>
      <c r="I589" s="3">
        <v>6.1620016669674232E-2</v>
      </c>
      <c r="J589">
        <f t="shared" si="10"/>
        <v>1</v>
      </c>
    </row>
    <row r="590" spans="7:10" ht="19.95" customHeight="1" x14ac:dyDescent="0.3">
      <c r="G590">
        <v>588</v>
      </c>
      <c r="H590" s="3">
        <v>-5.7448077710435363E-2</v>
      </c>
      <c r="I590" s="3">
        <v>-0.17882505278769917</v>
      </c>
      <c r="J590">
        <f t="shared" si="10"/>
        <v>1</v>
      </c>
    </row>
    <row r="591" spans="7:10" ht="19.95" customHeight="1" x14ac:dyDescent="0.3">
      <c r="G591">
        <v>589</v>
      </c>
      <c r="H591" s="3">
        <v>-2.4373810381838869E-2</v>
      </c>
      <c r="I591" s="3">
        <v>7.252882549457787E-2</v>
      </c>
      <c r="J591">
        <f t="shared" si="10"/>
        <v>0</v>
      </c>
    </row>
    <row r="592" spans="7:10" ht="19.95" customHeight="1" x14ac:dyDescent="0.3">
      <c r="G592">
        <v>590</v>
      </c>
      <c r="H592" s="3">
        <v>-5.7740269132234304E-2</v>
      </c>
      <c r="I592" s="3">
        <v>-1.862670274832702E-2</v>
      </c>
      <c r="J592">
        <f t="shared" si="10"/>
        <v>0</v>
      </c>
    </row>
    <row r="593" spans="7:10" ht="19.95" customHeight="1" x14ac:dyDescent="0.3">
      <c r="G593">
        <v>591</v>
      </c>
      <c r="H593" s="3">
        <v>-6.9629273426479843E-2</v>
      </c>
      <c r="I593" s="3">
        <v>-0.13904001342989603</v>
      </c>
      <c r="J593">
        <f t="shared" si="10"/>
        <v>1</v>
      </c>
    </row>
    <row r="594" spans="7:10" ht="19.95" customHeight="1" x14ac:dyDescent="0.3">
      <c r="G594">
        <v>592</v>
      </c>
      <c r="H594" s="3">
        <v>-0.28250066026359333</v>
      </c>
      <c r="I594" s="3">
        <v>-3.9891612840069465E-2</v>
      </c>
      <c r="J594">
        <f t="shared" si="10"/>
        <v>0</v>
      </c>
    </row>
    <row r="595" spans="7:10" ht="19.95" customHeight="1" x14ac:dyDescent="0.3">
      <c r="G595">
        <v>593</v>
      </c>
      <c r="H595" s="3">
        <v>3.419926222769816E-2</v>
      </c>
      <c r="I595" s="3">
        <v>2.1141294829731188E-2</v>
      </c>
      <c r="J595">
        <f t="shared" si="10"/>
        <v>1</v>
      </c>
    </row>
    <row r="596" spans="7:10" ht="19.95" customHeight="1" x14ac:dyDescent="0.3">
      <c r="G596">
        <v>594</v>
      </c>
      <c r="H596" s="3">
        <v>0.11817034419309443</v>
      </c>
      <c r="I596" s="3">
        <v>0.10453815827595403</v>
      </c>
      <c r="J596">
        <f t="shared" si="10"/>
        <v>1</v>
      </c>
    </row>
    <row r="597" spans="7:10" ht="19.95" customHeight="1" x14ac:dyDescent="0.3">
      <c r="G597">
        <v>595</v>
      </c>
      <c r="H597" s="3">
        <v>0.20517964710447012</v>
      </c>
      <c r="I597" s="3">
        <v>0.18274457449793338</v>
      </c>
      <c r="J597">
        <f t="shared" si="10"/>
        <v>1</v>
      </c>
    </row>
    <row r="598" spans="7:10" ht="19.95" customHeight="1" x14ac:dyDescent="0.3">
      <c r="G598">
        <v>596</v>
      </c>
      <c r="H598" s="3">
        <v>8.1520753351834035E-2</v>
      </c>
      <c r="I598" s="3">
        <v>7.7606302462448748E-2</v>
      </c>
      <c r="J598">
        <f t="shared" si="10"/>
        <v>1</v>
      </c>
    </row>
    <row r="599" spans="7:10" ht="19.95" customHeight="1" x14ac:dyDescent="0.3">
      <c r="G599">
        <v>597</v>
      </c>
      <c r="H599" s="3">
        <v>9.8628759602704952E-2</v>
      </c>
      <c r="I599" s="3">
        <v>0.10694766679080589</v>
      </c>
      <c r="J599">
        <f t="shared" si="10"/>
        <v>0</v>
      </c>
    </row>
    <row r="600" spans="7:10" ht="19.95" customHeight="1" x14ac:dyDescent="0.3">
      <c r="G600">
        <v>598</v>
      </c>
      <c r="H600" s="3">
        <v>6.8201424738885602E-2</v>
      </c>
      <c r="I600" s="3">
        <v>2.4408719084724013E-3</v>
      </c>
      <c r="J600">
        <f t="shared" si="10"/>
        <v>1</v>
      </c>
    </row>
    <row r="601" spans="7:10" ht="19.95" customHeight="1" x14ac:dyDescent="0.3">
      <c r="G601">
        <v>599</v>
      </c>
      <c r="H601" s="3">
        <v>0.22824036593769056</v>
      </c>
      <c r="I601" s="3">
        <v>0.25307666139127383</v>
      </c>
      <c r="J601">
        <f t="shared" si="10"/>
        <v>0</v>
      </c>
    </row>
    <row r="602" spans="7:10" ht="19.95" customHeight="1" x14ac:dyDescent="0.3">
      <c r="G602">
        <v>600</v>
      </c>
      <c r="H602" s="3">
        <v>0.20388512045335319</v>
      </c>
      <c r="I602" s="3">
        <v>0.12461985389975234</v>
      </c>
      <c r="J602">
        <f t="shared" si="10"/>
        <v>1</v>
      </c>
    </row>
    <row r="603" spans="7:10" ht="19.95" customHeight="1" x14ac:dyDescent="0.3">
      <c r="G603">
        <v>601</v>
      </c>
      <c r="H603" s="3">
        <v>1.6828746759201804E-2</v>
      </c>
      <c r="I603" s="3">
        <v>-2.3194313745713568E-2</v>
      </c>
      <c r="J603">
        <f t="shared" si="10"/>
        <v>1</v>
      </c>
    </row>
    <row r="604" spans="7:10" ht="19.95" customHeight="1" x14ac:dyDescent="0.3">
      <c r="G604">
        <v>602</v>
      </c>
      <c r="H604" s="3">
        <v>0.10384879300262903</v>
      </c>
      <c r="I604" s="3">
        <v>1.8546181743881753E-2</v>
      </c>
      <c r="J604">
        <f t="shared" si="10"/>
        <v>1</v>
      </c>
    </row>
    <row r="605" spans="7:10" ht="19.95" customHeight="1" x14ac:dyDescent="0.3">
      <c r="G605">
        <v>603</v>
      </c>
      <c r="H605" s="3">
        <v>0.15528662973632196</v>
      </c>
      <c r="I605" s="3">
        <v>0.14110349546582315</v>
      </c>
      <c r="J605">
        <f t="shared" si="10"/>
        <v>1</v>
      </c>
    </row>
    <row r="606" spans="7:10" ht="19.95" customHeight="1" x14ac:dyDescent="0.3">
      <c r="G606">
        <v>604</v>
      </c>
      <c r="H606" s="3">
        <v>-7.4339298088719113E-2</v>
      </c>
      <c r="I606" s="3">
        <v>-4.4789866626602469E-3</v>
      </c>
      <c r="J606">
        <f t="shared" si="10"/>
        <v>0</v>
      </c>
    </row>
    <row r="607" spans="7:10" ht="19.95" customHeight="1" x14ac:dyDescent="0.3">
      <c r="G607">
        <v>605</v>
      </c>
      <c r="H607" s="3">
        <v>3.3726037526372536E-2</v>
      </c>
      <c r="I607" s="3">
        <v>-4.4374625300178643E-3</v>
      </c>
      <c r="J607">
        <f t="shared" si="10"/>
        <v>1</v>
      </c>
    </row>
    <row r="608" spans="7:10" ht="19.95" customHeight="1" x14ac:dyDescent="0.3">
      <c r="G608">
        <v>606</v>
      </c>
      <c r="H608" s="3">
        <v>7.2407404969402928E-2</v>
      </c>
      <c r="I608" s="3">
        <v>3.4074868026321981E-2</v>
      </c>
      <c r="J608">
        <f t="shared" si="10"/>
        <v>1</v>
      </c>
    </row>
    <row r="609" spans="7:10" ht="19.95" customHeight="1" x14ac:dyDescent="0.3">
      <c r="G609">
        <v>607</v>
      </c>
      <c r="H609" s="3">
        <v>0.10837121043281583</v>
      </c>
      <c r="I609" s="3">
        <v>8.5727204976697197E-2</v>
      </c>
      <c r="J609">
        <f t="shared" si="10"/>
        <v>1</v>
      </c>
    </row>
    <row r="610" spans="7:10" ht="19.95" customHeight="1" x14ac:dyDescent="0.3">
      <c r="G610">
        <v>608</v>
      </c>
      <c r="H610" s="3">
        <v>8.6998381988469944E-2</v>
      </c>
      <c r="I610" s="3">
        <v>0.10161097287379449</v>
      </c>
      <c r="J610">
        <f t="shared" si="10"/>
        <v>0</v>
      </c>
    </row>
    <row r="611" spans="7:10" ht="19.95" customHeight="1" x14ac:dyDescent="0.3">
      <c r="G611">
        <v>609</v>
      </c>
      <c r="H611" s="3">
        <v>7.353241648419398E-2</v>
      </c>
      <c r="I611" s="3">
        <v>0.24616756043931604</v>
      </c>
      <c r="J611">
        <f t="shared" si="10"/>
        <v>0</v>
      </c>
    </row>
    <row r="612" spans="7:10" ht="19.95" customHeight="1" x14ac:dyDescent="0.3">
      <c r="G612">
        <v>610</v>
      </c>
      <c r="H612" s="3">
        <v>-4.5546731326326834E-2</v>
      </c>
      <c r="I612" s="3">
        <v>-0.1310621757467835</v>
      </c>
      <c r="J612">
        <f t="shared" si="10"/>
        <v>1</v>
      </c>
    </row>
    <row r="613" spans="7:10" ht="19.95" customHeight="1" x14ac:dyDescent="0.3">
      <c r="G613">
        <v>611</v>
      </c>
      <c r="H613" s="3">
        <v>5.159706390749786E-2</v>
      </c>
      <c r="I613" s="3">
        <v>0.12046108277917943</v>
      </c>
      <c r="J613">
        <f t="shared" si="10"/>
        <v>0</v>
      </c>
    </row>
    <row r="614" spans="7:10" ht="19.95" customHeight="1" x14ac:dyDescent="0.3">
      <c r="G614">
        <v>612</v>
      </c>
      <c r="H614" s="3">
        <v>-7.1210966977053633E-2</v>
      </c>
      <c r="I614" s="3">
        <v>1.7725333758871562E-2</v>
      </c>
      <c r="J614">
        <f t="shared" si="10"/>
        <v>0</v>
      </c>
    </row>
    <row r="615" spans="7:10" ht="19.95" customHeight="1" x14ac:dyDescent="0.3">
      <c r="G615">
        <v>613</v>
      </c>
      <c r="H615" s="3">
        <v>9.7977996426938802E-2</v>
      </c>
      <c r="I615" s="3">
        <v>0.1116616016258548</v>
      </c>
      <c r="J615">
        <f t="shared" si="10"/>
        <v>0</v>
      </c>
    </row>
    <row r="616" spans="7:10" ht="19.95" customHeight="1" x14ac:dyDescent="0.3">
      <c r="G616">
        <v>614</v>
      </c>
      <c r="H616" s="3">
        <v>2.0909464577103378E-2</v>
      </c>
      <c r="I616" s="3">
        <v>-5.7008429237397275E-2</v>
      </c>
      <c r="J616">
        <f t="shared" si="10"/>
        <v>1</v>
      </c>
    </row>
    <row r="617" spans="7:10" ht="19.95" customHeight="1" x14ac:dyDescent="0.3">
      <c r="G617">
        <v>615</v>
      </c>
      <c r="H617" s="3">
        <v>0.19741673774628171</v>
      </c>
      <c r="I617" s="3">
        <v>0.15141328788950667</v>
      </c>
      <c r="J617">
        <f t="shared" si="10"/>
        <v>1</v>
      </c>
    </row>
    <row r="618" spans="7:10" ht="19.95" customHeight="1" x14ac:dyDescent="0.3">
      <c r="G618">
        <v>616</v>
      </c>
      <c r="H618" s="3">
        <v>2.4922396043503766E-2</v>
      </c>
      <c r="I618" s="3">
        <v>6.0202005490325838E-2</v>
      </c>
      <c r="J618">
        <f t="shared" si="10"/>
        <v>0</v>
      </c>
    </row>
    <row r="619" spans="7:10" ht="19.95" customHeight="1" x14ac:dyDescent="0.3">
      <c r="G619">
        <v>617</v>
      </c>
      <c r="H619" s="3">
        <v>-5.4614438924824024E-2</v>
      </c>
      <c r="I619" s="3">
        <v>5.862202556736542E-2</v>
      </c>
      <c r="J619">
        <f t="shared" si="10"/>
        <v>0</v>
      </c>
    </row>
    <row r="620" spans="7:10" ht="19.95" customHeight="1" x14ac:dyDescent="0.3">
      <c r="G620">
        <v>618</v>
      </c>
      <c r="H620" s="3">
        <v>4.4045988376851627E-2</v>
      </c>
      <c r="I620" s="3">
        <v>7.1303927582282919E-2</v>
      </c>
      <c r="J620">
        <f t="shared" si="10"/>
        <v>0</v>
      </c>
    </row>
    <row r="621" spans="7:10" ht="19.95" customHeight="1" x14ac:dyDescent="0.3">
      <c r="G621">
        <v>619</v>
      </c>
      <c r="H621" s="3">
        <v>3.1155061107147899E-2</v>
      </c>
      <c r="I621" s="3">
        <v>-4.6330676980108301E-2</v>
      </c>
      <c r="J621">
        <f t="shared" si="10"/>
        <v>1</v>
      </c>
    </row>
    <row r="622" spans="7:10" ht="19.95" customHeight="1" x14ac:dyDescent="0.3">
      <c r="G622">
        <v>620</v>
      </c>
      <c r="H622" s="3">
        <v>7.56691055020903E-2</v>
      </c>
      <c r="I622" s="3">
        <v>7.6212209637536305E-2</v>
      </c>
      <c r="J622">
        <f t="shared" si="10"/>
        <v>0</v>
      </c>
    </row>
    <row r="623" spans="7:10" ht="19.95" customHeight="1" x14ac:dyDescent="0.3">
      <c r="G623">
        <v>621</v>
      </c>
      <c r="H623" s="3">
        <v>7.1630330845301321E-2</v>
      </c>
      <c r="I623" s="3">
        <v>0.10180913992486645</v>
      </c>
      <c r="J623">
        <f t="shared" si="10"/>
        <v>0</v>
      </c>
    </row>
    <row r="624" spans="7:10" ht="19.95" customHeight="1" x14ac:dyDescent="0.3">
      <c r="G624">
        <v>622</v>
      </c>
      <c r="H624" s="3">
        <v>-2.2975165074867777E-3</v>
      </c>
      <c r="I624" s="3">
        <v>7.2647928791539598E-2</v>
      </c>
      <c r="J624">
        <f t="shared" si="10"/>
        <v>0</v>
      </c>
    </row>
    <row r="625" spans="7:10" ht="19.95" customHeight="1" x14ac:dyDescent="0.3">
      <c r="G625">
        <v>623</v>
      </c>
      <c r="H625" s="3">
        <v>-6.2174193025263502E-2</v>
      </c>
      <c r="I625" s="3">
        <v>0.14816037464252926</v>
      </c>
      <c r="J625">
        <f t="shared" si="10"/>
        <v>0</v>
      </c>
    </row>
    <row r="626" spans="7:10" ht="19.95" customHeight="1" x14ac:dyDescent="0.3">
      <c r="G626">
        <v>624</v>
      </c>
      <c r="H626" s="3">
        <v>-2.8882932903478979E-2</v>
      </c>
      <c r="I626" s="3">
        <v>2.5107883093691833E-2</v>
      </c>
      <c r="J626">
        <f t="shared" si="10"/>
        <v>0</v>
      </c>
    </row>
    <row r="627" spans="7:10" ht="19.95" customHeight="1" x14ac:dyDescent="0.3">
      <c r="G627">
        <v>625</v>
      </c>
      <c r="H627" s="3">
        <v>0.33262392860498363</v>
      </c>
      <c r="I627" s="3">
        <v>0.30805570259651971</v>
      </c>
      <c r="J627">
        <f t="shared" si="10"/>
        <v>1</v>
      </c>
    </row>
    <row r="628" spans="7:10" ht="19.95" customHeight="1" x14ac:dyDescent="0.3">
      <c r="G628">
        <v>626</v>
      </c>
      <c r="H628" s="3">
        <v>-0.15994249381646014</v>
      </c>
      <c r="I628" s="3">
        <v>-7.3308423640714993E-2</v>
      </c>
      <c r="J628">
        <f t="shared" si="10"/>
        <v>0</v>
      </c>
    </row>
    <row r="629" spans="7:10" ht="19.95" customHeight="1" x14ac:dyDescent="0.3">
      <c r="G629">
        <v>627</v>
      </c>
      <c r="H629" s="3">
        <v>-6.4641187301064482E-2</v>
      </c>
      <c r="I629" s="3">
        <v>-0.15094058968008295</v>
      </c>
      <c r="J629">
        <f t="shared" si="10"/>
        <v>1</v>
      </c>
    </row>
    <row r="630" spans="7:10" ht="19.95" customHeight="1" x14ac:dyDescent="0.3">
      <c r="G630">
        <v>628</v>
      </c>
      <c r="H630" s="3">
        <v>0.13461920255477858</v>
      </c>
      <c r="I630" s="3">
        <v>0.15883311136424888</v>
      </c>
      <c r="J630">
        <f t="shared" si="10"/>
        <v>0</v>
      </c>
    </row>
    <row r="631" spans="7:10" ht="19.95" customHeight="1" x14ac:dyDescent="0.3">
      <c r="G631">
        <v>629</v>
      </c>
      <c r="H631" s="3">
        <v>0.25356512830886768</v>
      </c>
      <c r="I631" s="3">
        <v>0.17022442887650974</v>
      </c>
      <c r="J631">
        <f t="shared" si="10"/>
        <v>1</v>
      </c>
    </row>
    <row r="632" spans="7:10" ht="19.95" customHeight="1" x14ac:dyDescent="0.3">
      <c r="G632">
        <v>630</v>
      </c>
      <c r="H632" s="3">
        <v>5.1559305855490192E-2</v>
      </c>
      <c r="I632" s="3">
        <v>0.12378254459356211</v>
      </c>
      <c r="J632">
        <f t="shared" si="10"/>
        <v>0</v>
      </c>
    </row>
    <row r="633" spans="7:10" ht="19.95" customHeight="1" x14ac:dyDescent="0.3">
      <c r="G633">
        <v>631</v>
      </c>
      <c r="H633" s="3">
        <v>7.5686111035815823E-2</v>
      </c>
      <c r="I633" s="3">
        <v>0.11053612717706215</v>
      </c>
      <c r="J633">
        <f t="shared" si="10"/>
        <v>0</v>
      </c>
    </row>
    <row r="634" spans="7:10" ht="19.95" customHeight="1" x14ac:dyDescent="0.3">
      <c r="G634">
        <v>632</v>
      </c>
      <c r="H634" s="3">
        <v>6.4697953138297569E-3</v>
      </c>
      <c r="I634" s="3">
        <v>-1.9061996071816602E-2</v>
      </c>
      <c r="J634">
        <f t="shared" si="10"/>
        <v>1</v>
      </c>
    </row>
    <row r="635" spans="7:10" ht="19.95" customHeight="1" x14ac:dyDescent="0.3">
      <c r="G635">
        <v>633</v>
      </c>
      <c r="H635" s="3">
        <v>3.1417101123451759E-2</v>
      </c>
      <c r="I635" s="3">
        <v>4.6583569531928846E-3</v>
      </c>
      <c r="J635">
        <f t="shared" si="10"/>
        <v>1</v>
      </c>
    </row>
    <row r="636" spans="7:10" ht="19.95" customHeight="1" x14ac:dyDescent="0.3">
      <c r="G636">
        <v>634</v>
      </c>
      <c r="H636" s="3">
        <v>0.10155216276241312</v>
      </c>
      <c r="I636" s="3">
        <v>4.3985890830109863E-2</v>
      </c>
      <c r="J636">
        <f t="shared" si="10"/>
        <v>1</v>
      </c>
    </row>
    <row r="637" spans="7:10" ht="19.95" customHeight="1" x14ac:dyDescent="0.3">
      <c r="G637">
        <v>635</v>
      </c>
      <c r="H637" s="3">
        <v>0.10604716911558074</v>
      </c>
      <c r="I637" s="3">
        <v>5.0923143555402013E-2</v>
      </c>
      <c r="J637">
        <f t="shared" si="10"/>
        <v>1</v>
      </c>
    </row>
    <row r="638" spans="7:10" ht="19.95" customHeight="1" x14ac:dyDescent="0.3">
      <c r="G638">
        <v>636</v>
      </c>
      <c r="H638" s="3">
        <v>3.5834965301737284E-2</v>
      </c>
      <c r="I638" s="3">
        <v>3.2560421857823103E-2</v>
      </c>
      <c r="J638">
        <f t="shared" si="10"/>
        <v>1</v>
      </c>
    </row>
    <row r="639" spans="7:10" ht="19.95" customHeight="1" x14ac:dyDescent="0.3">
      <c r="G639">
        <v>637</v>
      </c>
      <c r="H639" s="3">
        <v>-1.8716642065554061E-2</v>
      </c>
      <c r="I639" s="3">
        <v>5.4584814414945143E-2</v>
      </c>
      <c r="J639">
        <f t="shared" si="10"/>
        <v>0</v>
      </c>
    </row>
    <row r="640" spans="7:10" ht="19.95" customHeight="1" x14ac:dyDescent="0.3">
      <c r="G640">
        <v>638</v>
      </c>
      <c r="H640" s="3">
        <v>1.8911035882275551E-2</v>
      </c>
      <c r="I640" s="3">
        <v>-5.200932466448998E-2</v>
      </c>
      <c r="J640">
        <f t="shared" si="10"/>
        <v>1</v>
      </c>
    </row>
    <row r="641" spans="7:10" ht="19.95" customHeight="1" x14ac:dyDescent="0.3">
      <c r="G641">
        <v>639</v>
      </c>
      <c r="H641" s="3">
        <v>-1.4222999092229608E-2</v>
      </c>
      <c r="I641" s="3">
        <v>6.5105575397557541E-3</v>
      </c>
      <c r="J641">
        <f t="shared" si="10"/>
        <v>0</v>
      </c>
    </row>
    <row r="642" spans="7:10" ht="19.95" customHeight="1" x14ac:dyDescent="0.3">
      <c r="G642">
        <v>640</v>
      </c>
      <c r="H642" s="3">
        <v>8.1780511571840589E-2</v>
      </c>
      <c r="I642" s="3">
        <v>-6.305750484419563E-2</v>
      </c>
      <c r="J642">
        <f t="shared" si="10"/>
        <v>1</v>
      </c>
    </row>
    <row r="643" spans="7:10" ht="19.95" customHeight="1" x14ac:dyDescent="0.3">
      <c r="G643">
        <v>641</v>
      </c>
      <c r="H643" s="3">
        <v>0.13903392230010983</v>
      </c>
      <c r="I643" s="3">
        <v>0.16459895521537724</v>
      </c>
      <c r="J643">
        <f t="shared" si="10"/>
        <v>0</v>
      </c>
    </row>
    <row r="644" spans="7:10" ht="19.95" customHeight="1" x14ac:dyDescent="0.3">
      <c r="G644">
        <v>642</v>
      </c>
      <c r="H644" s="3">
        <v>9.1780148268490472E-2</v>
      </c>
      <c r="I644" s="3">
        <v>2.4403939385799862E-3</v>
      </c>
      <c r="J644">
        <f t="shared" ref="J644:J707" si="11">IF(H644&gt;I644,1,0)</f>
        <v>1</v>
      </c>
    </row>
    <row r="645" spans="7:10" ht="19.95" customHeight="1" x14ac:dyDescent="0.3">
      <c r="G645">
        <v>643</v>
      </c>
      <c r="H645" s="3">
        <v>0.12975963257163167</v>
      </c>
      <c r="I645" s="3">
        <v>9.7493523399469095E-2</v>
      </c>
      <c r="J645">
        <f t="shared" si="11"/>
        <v>1</v>
      </c>
    </row>
    <row r="646" spans="7:10" ht="19.95" customHeight="1" x14ac:dyDescent="0.3">
      <c r="G646">
        <v>644</v>
      </c>
      <c r="H646" s="3">
        <v>-0.14191115671499566</v>
      </c>
      <c r="I646" s="3">
        <v>-0.16971848427658262</v>
      </c>
      <c r="J646">
        <f t="shared" si="11"/>
        <v>1</v>
      </c>
    </row>
    <row r="647" spans="7:10" ht="19.95" customHeight="1" x14ac:dyDescent="0.3">
      <c r="G647">
        <v>645</v>
      </c>
      <c r="H647" s="3">
        <v>8.6771102522745752E-2</v>
      </c>
      <c r="I647" s="3">
        <v>0.11781276082013922</v>
      </c>
      <c r="J647">
        <f t="shared" si="11"/>
        <v>0</v>
      </c>
    </row>
    <row r="648" spans="7:10" ht="19.95" customHeight="1" x14ac:dyDescent="0.3">
      <c r="G648">
        <v>646</v>
      </c>
      <c r="H648" s="3">
        <v>-5.7865095063979209E-2</v>
      </c>
      <c r="I648" s="3">
        <v>-5.5286949900124983E-2</v>
      </c>
      <c r="J648">
        <f t="shared" si="11"/>
        <v>0</v>
      </c>
    </row>
    <row r="649" spans="7:10" ht="19.95" customHeight="1" x14ac:dyDescent="0.3">
      <c r="G649">
        <v>647</v>
      </c>
      <c r="H649" s="3">
        <v>0.1080760816668936</v>
      </c>
      <c r="I649" s="3">
        <v>0.14621359572966933</v>
      </c>
      <c r="J649">
        <f t="shared" si="11"/>
        <v>0</v>
      </c>
    </row>
    <row r="650" spans="7:10" ht="19.95" customHeight="1" x14ac:dyDescent="0.3">
      <c r="G650">
        <v>648</v>
      </c>
      <c r="H650" s="3">
        <v>8.7262451436627045E-2</v>
      </c>
      <c r="I650" s="3">
        <v>4.2040565793834937E-3</v>
      </c>
      <c r="J650">
        <f t="shared" si="11"/>
        <v>1</v>
      </c>
    </row>
    <row r="651" spans="7:10" ht="19.95" customHeight="1" x14ac:dyDescent="0.3">
      <c r="G651">
        <v>649</v>
      </c>
      <c r="H651" s="3">
        <v>7.8647570017690863E-2</v>
      </c>
      <c r="I651" s="3">
        <v>0.11219584786759448</v>
      </c>
      <c r="J651">
        <f t="shared" si="11"/>
        <v>0</v>
      </c>
    </row>
    <row r="652" spans="7:10" ht="19.95" customHeight="1" x14ac:dyDescent="0.3">
      <c r="G652">
        <v>650</v>
      </c>
      <c r="H652" s="3">
        <v>0.24766257436003281</v>
      </c>
      <c r="I652" s="3">
        <v>7.4457797901929051E-2</v>
      </c>
      <c r="J652">
        <f t="shared" si="11"/>
        <v>1</v>
      </c>
    </row>
    <row r="653" spans="7:10" ht="19.95" customHeight="1" x14ac:dyDescent="0.3">
      <c r="G653">
        <v>651</v>
      </c>
      <c r="H653" s="3">
        <v>0.26859889866081521</v>
      </c>
      <c r="I653" s="3">
        <v>0.32189596316056163</v>
      </c>
      <c r="J653">
        <f t="shared" si="11"/>
        <v>0</v>
      </c>
    </row>
    <row r="654" spans="7:10" ht="19.95" customHeight="1" x14ac:dyDescent="0.3">
      <c r="G654">
        <v>652</v>
      </c>
      <c r="H654" s="3">
        <v>9.174213692281849E-2</v>
      </c>
      <c r="I654" s="3">
        <v>7.5885289145705345E-2</v>
      </c>
      <c r="J654">
        <f t="shared" si="11"/>
        <v>1</v>
      </c>
    </row>
    <row r="655" spans="7:10" ht="19.95" customHeight="1" x14ac:dyDescent="0.3">
      <c r="G655">
        <v>653</v>
      </c>
      <c r="H655" s="3">
        <v>8.5531051501030922E-2</v>
      </c>
      <c r="I655" s="3">
        <v>4.08857119312767E-2</v>
      </c>
      <c r="J655">
        <f t="shared" si="11"/>
        <v>1</v>
      </c>
    </row>
    <row r="656" spans="7:10" ht="19.95" customHeight="1" x14ac:dyDescent="0.3">
      <c r="G656">
        <v>654</v>
      </c>
      <c r="H656" s="3">
        <v>6.4714721370659326E-2</v>
      </c>
      <c r="I656" s="3">
        <v>-8.5476516983317485E-2</v>
      </c>
      <c r="J656">
        <f t="shared" si="11"/>
        <v>1</v>
      </c>
    </row>
    <row r="657" spans="7:10" ht="19.95" customHeight="1" x14ac:dyDescent="0.3">
      <c r="G657">
        <v>655</v>
      </c>
      <c r="H657" s="3">
        <v>-6.1133002496994542E-2</v>
      </c>
      <c r="I657" s="3">
        <v>5.9182351195127485E-2</v>
      </c>
      <c r="J657">
        <f t="shared" si="11"/>
        <v>0</v>
      </c>
    </row>
    <row r="658" spans="7:10" ht="19.95" customHeight="1" x14ac:dyDescent="0.3">
      <c r="G658">
        <v>656</v>
      </c>
      <c r="H658" s="3">
        <v>-5.4251478320615863E-3</v>
      </c>
      <c r="I658" s="3">
        <v>-1.405269252434975E-2</v>
      </c>
      <c r="J658">
        <f t="shared" si="11"/>
        <v>1</v>
      </c>
    </row>
    <row r="659" spans="7:10" ht="19.95" customHeight="1" x14ac:dyDescent="0.3">
      <c r="G659">
        <v>657</v>
      </c>
      <c r="H659" s="3">
        <v>0.17622544573090054</v>
      </c>
      <c r="I659" s="3">
        <v>0.18873580697970774</v>
      </c>
      <c r="J659">
        <f t="shared" si="11"/>
        <v>0</v>
      </c>
    </row>
    <row r="660" spans="7:10" ht="19.95" customHeight="1" x14ac:dyDescent="0.3">
      <c r="G660">
        <v>658</v>
      </c>
      <c r="H660" s="3">
        <v>-0.14479743352050353</v>
      </c>
      <c r="I660" s="3">
        <v>-0.12433757224005243</v>
      </c>
      <c r="J660">
        <f t="shared" si="11"/>
        <v>0</v>
      </c>
    </row>
    <row r="661" spans="7:10" ht="19.95" customHeight="1" x14ac:dyDescent="0.3">
      <c r="G661">
        <v>659</v>
      </c>
      <c r="H661" s="3">
        <v>4.3036474844455348E-3</v>
      </c>
      <c r="I661" s="3">
        <v>0.12405673159949847</v>
      </c>
      <c r="J661">
        <f t="shared" si="11"/>
        <v>0</v>
      </c>
    </row>
    <row r="662" spans="7:10" ht="19.95" customHeight="1" x14ac:dyDescent="0.3">
      <c r="G662">
        <v>660</v>
      </c>
      <c r="H662" s="3">
        <v>0.14692003064078676</v>
      </c>
      <c r="I662" s="3">
        <v>0.18707173924576878</v>
      </c>
      <c r="J662">
        <f t="shared" si="11"/>
        <v>0</v>
      </c>
    </row>
    <row r="663" spans="7:10" ht="19.95" customHeight="1" x14ac:dyDescent="0.3">
      <c r="G663">
        <v>661</v>
      </c>
      <c r="H663" s="3">
        <v>-0.10434814722635312</v>
      </c>
      <c r="I663" s="3">
        <v>-0.12295682977124683</v>
      </c>
      <c r="J663">
        <f t="shared" si="11"/>
        <v>1</v>
      </c>
    </row>
    <row r="664" spans="7:10" ht="19.95" customHeight="1" x14ac:dyDescent="0.3">
      <c r="G664">
        <v>662</v>
      </c>
      <c r="H664" s="3">
        <v>-3.1402847239761292E-2</v>
      </c>
      <c r="I664" s="3">
        <v>-9.35270867709109E-2</v>
      </c>
      <c r="J664">
        <f t="shared" si="11"/>
        <v>1</v>
      </c>
    </row>
    <row r="665" spans="7:10" ht="19.95" customHeight="1" x14ac:dyDescent="0.3">
      <c r="G665">
        <v>663</v>
      </c>
      <c r="H665" s="3">
        <v>-9.6742959161175895E-2</v>
      </c>
      <c r="I665" s="3">
        <v>-0.14801823394001737</v>
      </c>
      <c r="J665">
        <f t="shared" si="11"/>
        <v>1</v>
      </c>
    </row>
    <row r="666" spans="7:10" ht="19.95" customHeight="1" x14ac:dyDescent="0.3">
      <c r="G666">
        <v>664</v>
      </c>
      <c r="H666" s="3">
        <v>0.18094096465552295</v>
      </c>
      <c r="I666" s="3">
        <v>8.3754847915607833E-2</v>
      </c>
      <c r="J666">
        <f t="shared" si="11"/>
        <v>1</v>
      </c>
    </row>
    <row r="667" spans="7:10" ht="19.95" customHeight="1" x14ac:dyDescent="0.3">
      <c r="G667">
        <v>665</v>
      </c>
      <c r="H667" s="3">
        <v>-4.036021838831079E-2</v>
      </c>
      <c r="I667" s="3">
        <v>-7.3716588839170566E-2</v>
      </c>
      <c r="J667">
        <f t="shared" si="11"/>
        <v>1</v>
      </c>
    </row>
    <row r="668" spans="7:10" ht="19.95" customHeight="1" x14ac:dyDescent="0.3">
      <c r="G668">
        <v>666</v>
      </c>
      <c r="H668" s="3">
        <v>-4.3031374250404944E-2</v>
      </c>
      <c r="I668" s="3">
        <v>-2.1343511402020766E-2</v>
      </c>
      <c r="J668">
        <f t="shared" si="11"/>
        <v>0</v>
      </c>
    </row>
    <row r="669" spans="7:10" ht="19.95" customHeight="1" x14ac:dyDescent="0.3">
      <c r="G669">
        <v>667</v>
      </c>
      <c r="H669" s="3">
        <v>1.6039315571107576E-2</v>
      </c>
      <c r="I669" s="3">
        <v>7.7189747974410444E-2</v>
      </c>
      <c r="J669">
        <f t="shared" si="11"/>
        <v>0</v>
      </c>
    </row>
    <row r="670" spans="7:10" ht="19.95" customHeight="1" x14ac:dyDescent="0.3">
      <c r="G670">
        <v>668</v>
      </c>
      <c r="H670" s="3">
        <v>0.30020400888250698</v>
      </c>
      <c r="I670" s="3">
        <v>0.33237744013142767</v>
      </c>
      <c r="J670">
        <f t="shared" si="11"/>
        <v>0</v>
      </c>
    </row>
    <row r="671" spans="7:10" ht="19.95" customHeight="1" x14ac:dyDescent="0.3">
      <c r="G671">
        <v>669</v>
      </c>
      <c r="H671" s="3">
        <v>-2.6258773945072533E-2</v>
      </c>
      <c r="I671" s="3">
        <v>0.11727623908497285</v>
      </c>
      <c r="J671">
        <f t="shared" si="11"/>
        <v>0</v>
      </c>
    </row>
    <row r="672" spans="7:10" ht="19.95" customHeight="1" x14ac:dyDescent="0.3">
      <c r="G672">
        <v>670</v>
      </c>
      <c r="H672" s="3">
        <v>5.4633141539842674E-2</v>
      </c>
      <c r="I672" s="3">
        <v>0.15578635614855071</v>
      </c>
      <c r="J672">
        <f t="shared" si="11"/>
        <v>0</v>
      </c>
    </row>
    <row r="673" spans="7:10" ht="19.95" customHeight="1" x14ac:dyDescent="0.3">
      <c r="G673">
        <v>671</v>
      </c>
      <c r="H673" s="3">
        <v>-9.1544270574267575E-2</v>
      </c>
      <c r="I673" s="3">
        <v>-0.10652461618824431</v>
      </c>
      <c r="J673">
        <f t="shared" si="11"/>
        <v>1</v>
      </c>
    </row>
    <row r="674" spans="7:10" ht="19.95" customHeight="1" x14ac:dyDescent="0.3">
      <c r="G674">
        <v>672</v>
      </c>
      <c r="H674" s="3">
        <v>-1.0540858797697918E-2</v>
      </c>
      <c r="I674" s="3">
        <v>6.9400878345171561E-3</v>
      </c>
      <c r="J674">
        <f t="shared" si="11"/>
        <v>0</v>
      </c>
    </row>
    <row r="675" spans="7:10" ht="19.95" customHeight="1" x14ac:dyDescent="0.3">
      <c r="G675">
        <v>673</v>
      </c>
      <c r="H675" s="3">
        <v>0.10104093678621456</v>
      </c>
      <c r="I675" s="3">
        <v>-2.6359497000678599E-2</v>
      </c>
      <c r="J675">
        <f t="shared" si="11"/>
        <v>1</v>
      </c>
    </row>
    <row r="676" spans="7:10" ht="19.95" customHeight="1" x14ac:dyDescent="0.3">
      <c r="G676">
        <v>674</v>
      </c>
      <c r="H676" s="3">
        <v>3.872402346508616E-2</v>
      </c>
      <c r="I676" s="3">
        <v>8.5718468350828525E-2</v>
      </c>
      <c r="J676">
        <f t="shared" si="11"/>
        <v>0</v>
      </c>
    </row>
    <row r="677" spans="7:10" ht="19.95" customHeight="1" x14ac:dyDescent="0.3">
      <c r="G677">
        <v>675</v>
      </c>
      <c r="H677" s="3">
        <v>0.15032258603339646</v>
      </c>
      <c r="I677" s="3">
        <v>9.8700510369005123E-2</v>
      </c>
      <c r="J677">
        <f t="shared" si="11"/>
        <v>1</v>
      </c>
    </row>
    <row r="678" spans="7:10" ht="19.95" customHeight="1" x14ac:dyDescent="0.3">
      <c r="G678">
        <v>676</v>
      </c>
      <c r="H678" s="3">
        <v>-0.18997903396467047</v>
      </c>
      <c r="I678" s="3">
        <v>-0.17180614517587975</v>
      </c>
      <c r="J678">
        <f t="shared" si="11"/>
        <v>0</v>
      </c>
    </row>
    <row r="679" spans="7:10" ht="19.95" customHeight="1" x14ac:dyDescent="0.3">
      <c r="G679">
        <v>677</v>
      </c>
      <c r="H679" s="3">
        <v>6.9578897379602322E-2</v>
      </c>
      <c r="I679" s="3">
        <v>8.1141098440644779E-2</v>
      </c>
      <c r="J679">
        <f t="shared" si="11"/>
        <v>0</v>
      </c>
    </row>
    <row r="680" spans="7:10" ht="19.95" customHeight="1" x14ac:dyDescent="0.3">
      <c r="G680">
        <v>678</v>
      </c>
      <c r="H680" s="3">
        <v>-7.6392879729918525E-2</v>
      </c>
      <c r="I680" s="3">
        <v>-7.9535859762953492E-3</v>
      </c>
      <c r="J680">
        <f t="shared" si="11"/>
        <v>0</v>
      </c>
    </row>
    <row r="681" spans="7:10" ht="19.95" customHeight="1" x14ac:dyDescent="0.3">
      <c r="G681">
        <v>679</v>
      </c>
      <c r="H681" s="3">
        <v>-2.602574099835489E-2</v>
      </c>
      <c r="I681" s="3">
        <v>-3.4086210696481586E-2</v>
      </c>
      <c r="J681">
        <f t="shared" si="11"/>
        <v>1</v>
      </c>
    </row>
    <row r="682" spans="7:10" ht="19.95" customHeight="1" x14ac:dyDescent="0.3">
      <c r="G682">
        <v>680</v>
      </c>
      <c r="H682" s="3">
        <v>8.3556596419052651E-2</v>
      </c>
      <c r="I682" s="3">
        <v>5.5933194424915927E-2</v>
      </c>
      <c r="J682">
        <f t="shared" si="11"/>
        <v>1</v>
      </c>
    </row>
    <row r="683" spans="7:10" ht="19.95" customHeight="1" x14ac:dyDescent="0.3">
      <c r="G683">
        <v>681</v>
      </c>
      <c r="H683" s="3">
        <v>-0.11275791839293434</v>
      </c>
      <c r="I683" s="3">
        <v>-8.6046767587833667E-2</v>
      </c>
      <c r="J683">
        <f t="shared" si="11"/>
        <v>0</v>
      </c>
    </row>
    <row r="684" spans="7:10" ht="19.95" customHeight="1" x14ac:dyDescent="0.3">
      <c r="G684">
        <v>682</v>
      </c>
      <c r="H684" s="3">
        <v>-4.2835855288384198E-2</v>
      </c>
      <c r="I684" s="3">
        <v>5.9061998726541359E-2</v>
      </c>
      <c r="J684">
        <f t="shared" si="11"/>
        <v>0</v>
      </c>
    </row>
    <row r="685" spans="7:10" ht="19.95" customHeight="1" x14ac:dyDescent="0.3">
      <c r="G685">
        <v>683</v>
      </c>
      <c r="H685" s="3">
        <v>-3.2467710304453182E-2</v>
      </c>
      <c r="I685" s="3">
        <v>-4.1096443985581307E-2</v>
      </c>
      <c r="J685">
        <f t="shared" si="11"/>
        <v>1</v>
      </c>
    </row>
    <row r="686" spans="7:10" ht="19.95" customHeight="1" x14ac:dyDescent="0.3">
      <c r="G686">
        <v>684</v>
      </c>
      <c r="H686" s="3">
        <v>3.991793639786035E-2</v>
      </c>
      <c r="I686" s="3">
        <v>2.4213281519744306E-2</v>
      </c>
      <c r="J686">
        <f t="shared" si="11"/>
        <v>1</v>
      </c>
    </row>
    <row r="687" spans="7:10" ht="19.95" customHeight="1" x14ac:dyDescent="0.3">
      <c r="G687">
        <v>685</v>
      </c>
      <c r="H687" s="3">
        <v>0.15346801457156523</v>
      </c>
      <c r="I687" s="3">
        <v>4.751039247647014E-2</v>
      </c>
      <c r="J687">
        <f t="shared" si="11"/>
        <v>1</v>
      </c>
    </row>
    <row r="688" spans="7:10" ht="19.95" customHeight="1" x14ac:dyDescent="0.3">
      <c r="G688">
        <v>686</v>
      </c>
      <c r="H688" s="3">
        <v>5.2117571988488778E-2</v>
      </c>
      <c r="I688" s="3">
        <v>0.14803704953476526</v>
      </c>
      <c r="J688">
        <f t="shared" si="11"/>
        <v>0</v>
      </c>
    </row>
    <row r="689" spans="7:10" ht="19.95" customHeight="1" x14ac:dyDescent="0.3">
      <c r="G689">
        <v>687</v>
      </c>
      <c r="H689" s="3">
        <v>8.9731548707528003E-2</v>
      </c>
      <c r="I689" s="3">
        <v>0.19397959261852948</v>
      </c>
      <c r="J689">
        <f t="shared" si="11"/>
        <v>0</v>
      </c>
    </row>
    <row r="690" spans="7:10" ht="19.95" customHeight="1" x14ac:dyDescent="0.3">
      <c r="G690">
        <v>688</v>
      </c>
      <c r="H690" s="3">
        <v>8.7983412808091618E-3</v>
      </c>
      <c r="I690" s="3">
        <v>0.10607379268300816</v>
      </c>
      <c r="J690">
        <f t="shared" si="11"/>
        <v>0</v>
      </c>
    </row>
    <row r="691" spans="7:10" ht="19.95" customHeight="1" x14ac:dyDescent="0.3">
      <c r="G691">
        <v>689</v>
      </c>
      <c r="H691" s="3">
        <v>8.4473421475683957E-2</v>
      </c>
      <c r="I691" s="3">
        <v>0.19351812503850035</v>
      </c>
      <c r="J691">
        <f t="shared" si="11"/>
        <v>0</v>
      </c>
    </row>
    <row r="692" spans="7:10" ht="19.95" customHeight="1" x14ac:dyDescent="0.3">
      <c r="G692">
        <v>690</v>
      </c>
      <c r="H692" s="3">
        <v>2.7895463054224467E-2</v>
      </c>
      <c r="I692" s="3">
        <v>2.3462224853257919E-2</v>
      </c>
      <c r="J692">
        <f t="shared" si="11"/>
        <v>1</v>
      </c>
    </row>
    <row r="693" spans="7:10" ht="19.95" customHeight="1" x14ac:dyDescent="0.3">
      <c r="G693">
        <v>691</v>
      </c>
      <c r="H693" s="3">
        <v>9.635305343846759E-2</v>
      </c>
      <c r="I693" s="3">
        <v>-1.0921455979123097E-2</v>
      </c>
      <c r="J693">
        <f t="shared" si="11"/>
        <v>1</v>
      </c>
    </row>
    <row r="694" spans="7:10" ht="19.95" customHeight="1" x14ac:dyDescent="0.3">
      <c r="G694">
        <v>692</v>
      </c>
      <c r="H694" s="3">
        <v>-0.11290851547865779</v>
      </c>
      <c r="I694" s="3">
        <v>-4.5748323571776821E-2</v>
      </c>
      <c r="J694">
        <f t="shared" si="11"/>
        <v>0</v>
      </c>
    </row>
    <row r="695" spans="7:10" ht="19.95" customHeight="1" x14ac:dyDescent="0.3">
      <c r="G695">
        <v>693</v>
      </c>
      <c r="H695" s="3">
        <v>0.13186626165478618</v>
      </c>
      <c r="I695" s="3">
        <v>3.5001272279628744E-2</v>
      </c>
      <c r="J695">
        <f t="shared" si="11"/>
        <v>1</v>
      </c>
    </row>
    <row r="696" spans="7:10" ht="19.95" customHeight="1" x14ac:dyDescent="0.3">
      <c r="G696">
        <v>694</v>
      </c>
      <c r="H696" s="3">
        <v>-2.3907369560240116E-2</v>
      </c>
      <c r="I696" s="3">
        <v>4.1516031084298785E-2</v>
      </c>
      <c r="J696">
        <f t="shared" si="11"/>
        <v>0</v>
      </c>
    </row>
    <row r="697" spans="7:10" ht="19.95" customHeight="1" x14ac:dyDescent="0.3">
      <c r="G697">
        <v>695</v>
      </c>
      <c r="H697" s="3">
        <v>2.326688359756007E-3</v>
      </c>
      <c r="I697" s="3">
        <v>5.485742500794779E-2</v>
      </c>
      <c r="J697">
        <f t="shared" si="11"/>
        <v>0</v>
      </c>
    </row>
    <row r="698" spans="7:10" ht="19.95" customHeight="1" x14ac:dyDescent="0.3">
      <c r="G698">
        <v>696</v>
      </c>
      <c r="H698" s="3">
        <v>5.8010438297650804E-2</v>
      </c>
      <c r="I698" s="3">
        <v>0.13040361261195454</v>
      </c>
      <c r="J698">
        <f t="shared" si="11"/>
        <v>0</v>
      </c>
    </row>
    <row r="699" spans="7:10" ht="19.95" customHeight="1" x14ac:dyDescent="0.3">
      <c r="G699">
        <v>697</v>
      </c>
      <c r="H699" s="3">
        <v>0.12628523969091426</v>
      </c>
      <c r="I699" s="3">
        <v>0.10597044392555992</v>
      </c>
      <c r="J699">
        <f t="shared" si="11"/>
        <v>1</v>
      </c>
    </row>
    <row r="700" spans="7:10" ht="19.95" customHeight="1" x14ac:dyDescent="0.3">
      <c r="G700">
        <v>698</v>
      </c>
      <c r="H700" s="3">
        <v>2.9824797359923119E-3</v>
      </c>
      <c r="I700" s="3">
        <v>6.0142216488758775E-2</v>
      </c>
      <c r="J700">
        <f t="shared" si="11"/>
        <v>0</v>
      </c>
    </row>
    <row r="701" spans="7:10" ht="19.95" customHeight="1" x14ac:dyDescent="0.3">
      <c r="G701">
        <v>699</v>
      </c>
      <c r="H701" s="3">
        <v>0.14813778597438132</v>
      </c>
      <c r="I701" s="3">
        <v>0.13865250323575665</v>
      </c>
      <c r="J701">
        <f t="shared" si="11"/>
        <v>1</v>
      </c>
    </row>
    <row r="702" spans="7:10" ht="19.95" customHeight="1" x14ac:dyDescent="0.3">
      <c r="G702">
        <v>700</v>
      </c>
      <c r="H702" s="3">
        <v>-8.1372046335991904E-2</v>
      </c>
      <c r="I702" s="3">
        <v>-3.1278821475377395E-2</v>
      </c>
      <c r="J702">
        <f t="shared" si="11"/>
        <v>0</v>
      </c>
    </row>
    <row r="703" spans="7:10" ht="19.95" customHeight="1" x14ac:dyDescent="0.3">
      <c r="G703">
        <v>701</v>
      </c>
      <c r="H703" s="3">
        <v>-8.9118805280448896E-2</v>
      </c>
      <c r="I703" s="3">
        <v>-4.8450743672282054E-2</v>
      </c>
      <c r="J703">
        <f t="shared" si="11"/>
        <v>0</v>
      </c>
    </row>
    <row r="704" spans="7:10" ht="19.95" customHeight="1" x14ac:dyDescent="0.3">
      <c r="G704">
        <v>702</v>
      </c>
      <c r="H704" s="3">
        <v>2.8020160758319691E-2</v>
      </c>
      <c r="I704" s="3">
        <v>0.15063547929499546</v>
      </c>
      <c r="J704">
        <f t="shared" si="11"/>
        <v>0</v>
      </c>
    </row>
    <row r="705" spans="7:10" ht="19.95" customHeight="1" x14ac:dyDescent="0.3">
      <c r="G705">
        <v>703</v>
      </c>
      <c r="H705" s="3">
        <v>-7.7804102052072166E-2</v>
      </c>
      <c r="I705" s="3">
        <v>3.773858196141789E-2</v>
      </c>
      <c r="J705">
        <f t="shared" si="11"/>
        <v>0</v>
      </c>
    </row>
    <row r="706" spans="7:10" ht="19.95" customHeight="1" x14ac:dyDescent="0.3">
      <c r="G706">
        <v>704</v>
      </c>
      <c r="H706" s="3">
        <v>6.4324119834564958E-2</v>
      </c>
      <c r="I706" s="3">
        <v>0.10716173551129107</v>
      </c>
      <c r="J706">
        <f t="shared" si="11"/>
        <v>0</v>
      </c>
    </row>
    <row r="707" spans="7:10" ht="19.95" customHeight="1" x14ac:dyDescent="0.3">
      <c r="G707">
        <v>705</v>
      </c>
      <c r="H707" s="3">
        <v>0.12176370829444617</v>
      </c>
      <c r="I707" s="3">
        <v>0.15595478947699842</v>
      </c>
      <c r="J707">
        <f t="shared" si="11"/>
        <v>0</v>
      </c>
    </row>
    <row r="708" spans="7:10" ht="19.95" customHeight="1" x14ac:dyDescent="0.3">
      <c r="G708">
        <v>706</v>
      </c>
      <c r="H708" s="3">
        <v>7.9824431181896749E-2</v>
      </c>
      <c r="I708" s="3">
        <v>6.3872864355270523E-2</v>
      </c>
      <c r="J708">
        <f t="shared" ref="J708:J771" si="12">IF(H708&gt;I708,1,0)</f>
        <v>1</v>
      </c>
    </row>
    <row r="709" spans="7:10" ht="19.95" customHeight="1" x14ac:dyDescent="0.3">
      <c r="G709">
        <v>707</v>
      </c>
      <c r="H709" s="3">
        <v>-7.265063108885611E-2</v>
      </c>
      <c r="I709" s="3">
        <v>2.7250514062631816E-2</v>
      </c>
      <c r="J709">
        <f t="shared" si="12"/>
        <v>0</v>
      </c>
    </row>
    <row r="710" spans="7:10" ht="19.95" customHeight="1" x14ac:dyDescent="0.3">
      <c r="G710">
        <v>708</v>
      </c>
      <c r="H710" s="3">
        <v>-5.9373252000840544E-2</v>
      </c>
      <c r="I710" s="3">
        <v>-6.6017916192226272E-2</v>
      </c>
      <c r="J710">
        <f t="shared" si="12"/>
        <v>1</v>
      </c>
    </row>
    <row r="711" spans="7:10" ht="19.95" customHeight="1" x14ac:dyDescent="0.3">
      <c r="G711">
        <v>709</v>
      </c>
      <c r="H711" s="3">
        <v>3.3374717765414535E-2</v>
      </c>
      <c r="I711" s="3">
        <v>0.11275416369818109</v>
      </c>
      <c r="J711">
        <f t="shared" si="12"/>
        <v>0</v>
      </c>
    </row>
    <row r="712" spans="7:10" ht="19.95" customHeight="1" x14ac:dyDescent="0.3">
      <c r="G712">
        <v>710</v>
      </c>
      <c r="H712" s="3">
        <v>-0.11283202139349625</v>
      </c>
      <c r="I712" s="3">
        <v>-8.5808283804312241E-2</v>
      </c>
      <c r="J712">
        <f t="shared" si="12"/>
        <v>0</v>
      </c>
    </row>
    <row r="713" spans="7:10" ht="19.95" customHeight="1" x14ac:dyDescent="0.3">
      <c r="G713">
        <v>711</v>
      </c>
      <c r="H713" s="3">
        <v>-2.9602512939935249E-2</v>
      </c>
      <c r="I713" s="3">
        <v>-8.9012201695349999E-2</v>
      </c>
      <c r="J713">
        <f t="shared" si="12"/>
        <v>1</v>
      </c>
    </row>
    <row r="714" spans="7:10" ht="19.95" customHeight="1" x14ac:dyDescent="0.3">
      <c r="G714">
        <v>712</v>
      </c>
      <c r="H714" s="3">
        <v>-7.9548708766326151E-2</v>
      </c>
      <c r="I714" s="3">
        <v>-1.5426534740794253E-2</v>
      </c>
      <c r="J714">
        <f t="shared" si="12"/>
        <v>0</v>
      </c>
    </row>
    <row r="715" spans="7:10" ht="19.95" customHeight="1" x14ac:dyDescent="0.3">
      <c r="G715">
        <v>713</v>
      </c>
      <c r="H715" s="3">
        <v>7.1026233110522891E-2</v>
      </c>
      <c r="I715" s="3">
        <v>7.0253545088560063E-2</v>
      </c>
      <c r="J715">
        <f t="shared" si="12"/>
        <v>1</v>
      </c>
    </row>
    <row r="716" spans="7:10" ht="19.95" customHeight="1" x14ac:dyDescent="0.3">
      <c r="G716">
        <v>714</v>
      </c>
      <c r="H716" s="3">
        <v>0.1793993598969747</v>
      </c>
      <c r="I716" s="3">
        <v>2.5226394691242226E-2</v>
      </c>
      <c r="J716">
        <f t="shared" si="12"/>
        <v>1</v>
      </c>
    </row>
    <row r="717" spans="7:10" ht="19.95" customHeight="1" x14ac:dyDescent="0.3">
      <c r="G717">
        <v>715</v>
      </c>
      <c r="H717" s="3">
        <v>0.1383493031577987</v>
      </c>
      <c r="I717" s="3">
        <v>9.4317160371587844E-3</v>
      </c>
      <c r="J717">
        <f t="shared" si="12"/>
        <v>1</v>
      </c>
    </row>
    <row r="718" spans="7:10" ht="19.95" customHeight="1" x14ac:dyDescent="0.3">
      <c r="G718">
        <v>716</v>
      </c>
      <c r="H718" s="3">
        <v>-5.7363745973255137E-2</v>
      </c>
      <c r="I718" s="3">
        <v>-2.1336388057418224E-2</v>
      </c>
      <c r="J718">
        <f t="shared" si="12"/>
        <v>0</v>
      </c>
    </row>
    <row r="719" spans="7:10" ht="19.95" customHeight="1" x14ac:dyDescent="0.3">
      <c r="G719">
        <v>717</v>
      </c>
      <c r="H719" s="3">
        <v>3.2295559374732937E-3</v>
      </c>
      <c r="I719" s="3">
        <v>8.0545126499662098E-2</v>
      </c>
      <c r="J719">
        <f t="shared" si="12"/>
        <v>0</v>
      </c>
    </row>
    <row r="720" spans="7:10" ht="19.95" customHeight="1" x14ac:dyDescent="0.3">
      <c r="G720">
        <v>718</v>
      </c>
      <c r="H720" s="3">
        <v>-7.5586579860884347E-3</v>
      </c>
      <c r="I720" s="3">
        <v>9.843625271911928E-2</v>
      </c>
      <c r="J720">
        <f t="shared" si="12"/>
        <v>0</v>
      </c>
    </row>
    <row r="721" spans="7:10" ht="19.95" customHeight="1" x14ac:dyDescent="0.3">
      <c r="G721">
        <v>719</v>
      </c>
      <c r="H721" s="3">
        <v>2.3820634682482005E-2</v>
      </c>
      <c r="I721" s="3">
        <v>-3.1692865089275365E-2</v>
      </c>
      <c r="J721">
        <f t="shared" si="12"/>
        <v>1</v>
      </c>
    </row>
    <row r="722" spans="7:10" ht="19.95" customHeight="1" x14ac:dyDescent="0.3">
      <c r="G722">
        <v>720</v>
      </c>
      <c r="H722" s="3">
        <v>-3.1015098439097735E-2</v>
      </c>
      <c r="I722" s="3">
        <v>-0.1582568477514863</v>
      </c>
      <c r="J722">
        <f t="shared" si="12"/>
        <v>1</v>
      </c>
    </row>
    <row r="723" spans="7:10" ht="19.95" customHeight="1" x14ac:dyDescent="0.3">
      <c r="G723">
        <v>721</v>
      </c>
      <c r="H723" s="3">
        <v>0.2371489397193568</v>
      </c>
      <c r="I723" s="3">
        <v>0.18664983821425679</v>
      </c>
      <c r="J723">
        <f t="shared" si="12"/>
        <v>1</v>
      </c>
    </row>
    <row r="724" spans="7:10" ht="19.95" customHeight="1" x14ac:dyDescent="0.3">
      <c r="G724">
        <v>722</v>
      </c>
      <c r="H724" s="3">
        <v>0.19209360660805602</v>
      </c>
      <c r="I724" s="3">
        <v>0.19536356527001869</v>
      </c>
      <c r="J724">
        <f t="shared" si="12"/>
        <v>0</v>
      </c>
    </row>
    <row r="725" spans="7:10" ht="19.95" customHeight="1" x14ac:dyDescent="0.3">
      <c r="G725">
        <v>723</v>
      </c>
      <c r="H725" s="3">
        <v>8.8705102516495798E-2</v>
      </c>
      <c r="I725" s="3">
        <v>8.779205437856907E-3</v>
      </c>
      <c r="J725">
        <f t="shared" si="12"/>
        <v>1</v>
      </c>
    </row>
    <row r="726" spans="7:10" ht="19.95" customHeight="1" x14ac:dyDescent="0.3">
      <c r="G726">
        <v>724</v>
      </c>
      <c r="H726" s="3">
        <v>5.2126303815874603E-2</v>
      </c>
      <c r="I726" s="3">
        <v>4.928548315036585E-2</v>
      </c>
      <c r="J726">
        <f t="shared" si="12"/>
        <v>1</v>
      </c>
    </row>
    <row r="727" spans="7:10" ht="19.95" customHeight="1" x14ac:dyDescent="0.3">
      <c r="G727">
        <v>725</v>
      </c>
      <c r="H727" s="3">
        <v>-0.16376610382303969</v>
      </c>
      <c r="I727" s="3">
        <v>-0.17328213486166205</v>
      </c>
      <c r="J727">
        <f t="shared" si="12"/>
        <v>1</v>
      </c>
    </row>
    <row r="728" spans="7:10" ht="19.95" customHeight="1" x14ac:dyDescent="0.3">
      <c r="G728">
        <v>726</v>
      </c>
      <c r="H728" s="3">
        <v>0.1079977903959749</v>
      </c>
      <c r="I728" s="3">
        <v>1.9901821420725815E-2</v>
      </c>
      <c r="J728">
        <f t="shared" si="12"/>
        <v>1</v>
      </c>
    </row>
    <row r="729" spans="7:10" ht="19.95" customHeight="1" x14ac:dyDescent="0.3">
      <c r="G729">
        <v>727</v>
      </c>
      <c r="H729" s="3">
        <v>7.9292955414125038E-2</v>
      </c>
      <c r="I729" s="3">
        <v>0.13410326507561338</v>
      </c>
      <c r="J729">
        <f t="shared" si="12"/>
        <v>0</v>
      </c>
    </row>
    <row r="730" spans="7:10" ht="19.95" customHeight="1" x14ac:dyDescent="0.3">
      <c r="G730">
        <v>728</v>
      </c>
      <c r="H730" s="3">
        <v>2.1698030443677855E-2</v>
      </c>
      <c r="I730" s="3">
        <v>-4.6517288893652767E-3</v>
      </c>
      <c r="J730">
        <f t="shared" si="12"/>
        <v>1</v>
      </c>
    </row>
    <row r="731" spans="7:10" ht="19.95" customHeight="1" x14ac:dyDescent="0.3">
      <c r="G731">
        <v>729</v>
      </c>
      <c r="H731" s="3">
        <v>1.9332655507475968E-3</v>
      </c>
      <c r="I731" s="3">
        <v>5.2337837707347346E-2</v>
      </c>
      <c r="J731">
        <f t="shared" si="12"/>
        <v>0</v>
      </c>
    </row>
    <row r="732" spans="7:10" ht="19.95" customHeight="1" x14ac:dyDescent="0.3">
      <c r="G732">
        <v>730</v>
      </c>
      <c r="H732" s="3">
        <v>5.0085025695641792E-2</v>
      </c>
      <c r="I732" s="3">
        <v>7.4782302770918874E-3</v>
      </c>
      <c r="J732">
        <f t="shared" si="12"/>
        <v>1</v>
      </c>
    </row>
    <row r="733" spans="7:10" ht="19.95" customHeight="1" x14ac:dyDescent="0.3">
      <c r="G733">
        <v>731</v>
      </c>
      <c r="H733" s="3">
        <v>3.4119202218286612E-2</v>
      </c>
      <c r="I733" s="3">
        <v>0.10757004939043074</v>
      </c>
      <c r="J733">
        <f t="shared" si="12"/>
        <v>0</v>
      </c>
    </row>
    <row r="734" spans="7:10" ht="19.95" customHeight="1" x14ac:dyDescent="0.3">
      <c r="G734">
        <v>732</v>
      </c>
      <c r="H734" s="3">
        <v>-0.11518651157703526</v>
      </c>
      <c r="I734" s="3">
        <v>-0.19465286516630226</v>
      </c>
      <c r="J734">
        <f t="shared" si="12"/>
        <v>1</v>
      </c>
    </row>
    <row r="735" spans="7:10" ht="19.95" customHeight="1" x14ac:dyDescent="0.3">
      <c r="G735">
        <v>733</v>
      </c>
      <c r="H735" s="3">
        <v>-3.1146504609593416E-2</v>
      </c>
      <c r="I735" s="3">
        <v>-6.4616202301368941E-2</v>
      </c>
      <c r="J735">
        <f t="shared" si="12"/>
        <v>1</v>
      </c>
    </row>
    <row r="736" spans="7:10" ht="19.95" customHeight="1" x14ac:dyDescent="0.3">
      <c r="G736">
        <v>734</v>
      </c>
      <c r="H736" s="3">
        <v>0.148182222374759</v>
      </c>
      <c r="I736" s="3">
        <v>0.11617768227042835</v>
      </c>
      <c r="J736">
        <f t="shared" si="12"/>
        <v>1</v>
      </c>
    </row>
    <row r="737" spans="7:10" ht="19.95" customHeight="1" x14ac:dyDescent="0.3">
      <c r="G737">
        <v>735</v>
      </c>
      <c r="H737" s="3">
        <v>-3.1278800292702101E-2</v>
      </c>
      <c r="I737" s="3">
        <v>0.13382818544679978</v>
      </c>
      <c r="J737">
        <f t="shared" si="12"/>
        <v>0</v>
      </c>
    </row>
    <row r="738" spans="7:10" ht="19.95" customHeight="1" x14ac:dyDescent="0.3">
      <c r="G738">
        <v>736</v>
      </c>
      <c r="H738" s="3">
        <v>-9.9520013287935083E-2</v>
      </c>
      <c r="I738" s="3">
        <v>0.11152695227019749</v>
      </c>
      <c r="J738">
        <f t="shared" si="12"/>
        <v>0</v>
      </c>
    </row>
    <row r="739" spans="7:10" ht="19.95" customHeight="1" x14ac:dyDescent="0.3">
      <c r="G739">
        <v>737</v>
      </c>
      <c r="H739" s="3">
        <v>0.11460462820176978</v>
      </c>
      <c r="I739" s="3">
        <v>2.3888867547875118E-3</v>
      </c>
      <c r="J739">
        <f t="shared" si="12"/>
        <v>1</v>
      </c>
    </row>
    <row r="740" spans="7:10" ht="19.95" customHeight="1" x14ac:dyDescent="0.3">
      <c r="G740">
        <v>738</v>
      </c>
      <c r="H740" s="3">
        <v>8.839716065872065E-2</v>
      </c>
      <c r="I740" s="3">
        <v>0.11340302402523887</v>
      </c>
      <c r="J740">
        <f t="shared" si="12"/>
        <v>0</v>
      </c>
    </row>
    <row r="741" spans="7:10" ht="19.95" customHeight="1" x14ac:dyDescent="0.3">
      <c r="G741">
        <v>739</v>
      </c>
      <c r="H741" s="3">
        <v>-1.355265051564683E-2</v>
      </c>
      <c r="I741" s="3">
        <v>9.3397937035815046E-3</v>
      </c>
      <c r="J741">
        <f t="shared" si="12"/>
        <v>0</v>
      </c>
    </row>
    <row r="742" spans="7:10" ht="19.95" customHeight="1" x14ac:dyDescent="0.3">
      <c r="G742">
        <v>740</v>
      </c>
      <c r="H742" s="3">
        <v>8.4348105612470747E-2</v>
      </c>
      <c r="I742" s="3">
        <v>6.7761788606464993E-2</v>
      </c>
      <c r="J742">
        <f t="shared" si="12"/>
        <v>1</v>
      </c>
    </row>
    <row r="743" spans="7:10" ht="19.95" customHeight="1" x14ac:dyDescent="0.3">
      <c r="G743">
        <v>741</v>
      </c>
      <c r="H743" s="3">
        <v>7.2761510858576225E-2</v>
      </c>
      <c r="I743" s="3">
        <v>4.4919320169050224E-2</v>
      </c>
      <c r="J743">
        <f t="shared" si="12"/>
        <v>1</v>
      </c>
    </row>
    <row r="744" spans="7:10" ht="19.95" customHeight="1" x14ac:dyDescent="0.3">
      <c r="G744">
        <v>742</v>
      </c>
      <c r="H744" s="3">
        <v>0.11461021258705879</v>
      </c>
      <c r="I744" s="3">
        <v>9.6557426868242757E-2</v>
      </c>
      <c r="J744">
        <f t="shared" si="12"/>
        <v>1</v>
      </c>
    </row>
    <row r="745" spans="7:10" ht="19.95" customHeight="1" x14ac:dyDescent="0.3">
      <c r="G745">
        <v>743</v>
      </c>
      <c r="H745" s="3">
        <v>-1.7511212513454603E-2</v>
      </c>
      <c r="I745" s="3">
        <v>3.2124658190778033E-2</v>
      </c>
      <c r="J745">
        <f t="shared" si="12"/>
        <v>0</v>
      </c>
    </row>
    <row r="746" spans="7:10" ht="19.95" customHeight="1" x14ac:dyDescent="0.3">
      <c r="G746">
        <v>744</v>
      </c>
      <c r="H746" s="3">
        <v>6.589358237183908E-2</v>
      </c>
      <c r="I746" s="3">
        <v>7.5629448889325906E-2</v>
      </c>
      <c r="J746">
        <f t="shared" si="12"/>
        <v>0</v>
      </c>
    </row>
    <row r="747" spans="7:10" ht="19.95" customHeight="1" x14ac:dyDescent="0.3">
      <c r="G747">
        <v>745</v>
      </c>
      <c r="H747" s="3">
        <v>1.7889780044592102E-2</v>
      </c>
      <c r="I747" s="3">
        <v>-1.1523816860028143E-2</v>
      </c>
      <c r="J747">
        <f t="shared" si="12"/>
        <v>1</v>
      </c>
    </row>
    <row r="748" spans="7:10" ht="19.95" customHeight="1" x14ac:dyDescent="0.3">
      <c r="G748">
        <v>746</v>
      </c>
      <c r="H748" s="3">
        <v>0.1656961404725458</v>
      </c>
      <c r="I748" s="3">
        <v>0.15107202465993411</v>
      </c>
      <c r="J748">
        <f t="shared" si="12"/>
        <v>1</v>
      </c>
    </row>
    <row r="749" spans="7:10" ht="19.95" customHeight="1" x14ac:dyDescent="0.3">
      <c r="G749">
        <v>747</v>
      </c>
      <c r="H749" s="3">
        <v>0.17335711047478577</v>
      </c>
      <c r="I749" s="3">
        <v>0.21537447818261946</v>
      </c>
      <c r="J749">
        <f t="shared" si="12"/>
        <v>0</v>
      </c>
    </row>
    <row r="750" spans="7:10" ht="19.95" customHeight="1" x14ac:dyDescent="0.3">
      <c r="G750">
        <v>748</v>
      </c>
      <c r="H750" s="3">
        <v>0.16863071419265685</v>
      </c>
      <c r="I750" s="3">
        <v>0.21778976159363328</v>
      </c>
      <c r="J750">
        <f t="shared" si="12"/>
        <v>0</v>
      </c>
    </row>
    <row r="751" spans="7:10" ht="19.95" customHeight="1" x14ac:dyDescent="0.3">
      <c r="G751">
        <v>749</v>
      </c>
      <c r="H751" s="3">
        <v>2.0281702268848435E-2</v>
      </c>
      <c r="I751" s="3">
        <v>-1.8525382735229357E-2</v>
      </c>
      <c r="J751">
        <f t="shared" si="12"/>
        <v>1</v>
      </c>
    </row>
    <row r="752" spans="7:10" ht="19.95" customHeight="1" x14ac:dyDescent="0.3">
      <c r="G752">
        <v>750</v>
      </c>
      <c r="H752" s="3">
        <v>7.4058974961203797E-2</v>
      </c>
      <c r="I752" s="3">
        <v>4.6781284320296032E-2</v>
      </c>
      <c r="J752">
        <f t="shared" si="12"/>
        <v>1</v>
      </c>
    </row>
    <row r="753" spans="7:10" ht="19.95" customHeight="1" x14ac:dyDescent="0.3">
      <c r="G753">
        <v>751</v>
      </c>
      <c r="H753" s="3">
        <v>0.14570238912988326</v>
      </c>
      <c r="I753" s="3">
        <v>0.1528475052908663</v>
      </c>
      <c r="J753">
        <f t="shared" si="12"/>
        <v>0</v>
      </c>
    </row>
    <row r="754" spans="7:10" ht="19.95" customHeight="1" x14ac:dyDescent="0.3">
      <c r="G754">
        <v>752</v>
      </c>
      <c r="H754" s="3">
        <v>0.14269820168428876</v>
      </c>
      <c r="I754" s="3">
        <v>7.0834431159479377E-2</v>
      </c>
      <c r="J754">
        <f t="shared" si="12"/>
        <v>1</v>
      </c>
    </row>
    <row r="755" spans="7:10" ht="19.95" customHeight="1" x14ac:dyDescent="0.3">
      <c r="G755">
        <v>753</v>
      </c>
      <c r="H755" s="3">
        <v>0.12511338737544506</v>
      </c>
      <c r="I755" s="3">
        <v>0.12272340553745162</v>
      </c>
      <c r="J755">
        <f t="shared" si="12"/>
        <v>1</v>
      </c>
    </row>
    <row r="756" spans="7:10" ht="19.95" customHeight="1" x14ac:dyDescent="0.3">
      <c r="G756">
        <v>754</v>
      </c>
      <c r="H756" s="3">
        <v>7.2466229860938522E-2</v>
      </c>
      <c r="I756" s="3">
        <v>8.9500317249901346E-2</v>
      </c>
      <c r="J756">
        <f t="shared" si="12"/>
        <v>0</v>
      </c>
    </row>
    <row r="757" spans="7:10" ht="19.95" customHeight="1" x14ac:dyDescent="0.3">
      <c r="G757">
        <v>755</v>
      </c>
      <c r="H757" s="3">
        <v>-6.8801366187280277E-2</v>
      </c>
      <c r="I757" s="3">
        <v>-5.8988666176981515E-2</v>
      </c>
      <c r="J757">
        <f t="shared" si="12"/>
        <v>0</v>
      </c>
    </row>
    <row r="758" spans="7:10" ht="19.95" customHeight="1" x14ac:dyDescent="0.3">
      <c r="G758">
        <v>756</v>
      </c>
      <c r="H758" s="3">
        <v>-2.0399328432532372E-2</v>
      </c>
      <c r="I758" s="3">
        <v>-0.12250902610703468</v>
      </c>
      <c r="J758">
        <f t="shared" si="12"/>
        <v>1</v>
      </c>
    </row>
    <row r="759" spans="7:10" ht="19.95" customHeight="1" x14ac:dyDescent="0.3">
      <c r="G759">
        <v>757</v>
      </c>
      <c r="H759" s="3">
        <v>6.0909142468765255E-2</v>
      </c>
      <c r="I759" s="3">
        <v>6.2890608169697951E-2</v>
      </c>
      <c r="J759">
        <f t="shared" si="12"/>
        <v>0</v>
      </c>
    </row>
    <row r="760" spans="7:10" ht="19.95" customHeight="1" x14ac:dyDescent="0.3">
      <c r="G760">
        <v>758</v>
      </c>
      <c r="H760" s="3">
        <v>6.2965922769815552E-2</v>
      </c>
      <c r="I760" s="3">
        <v>-3.5098254454450251E-2</v>
      </c>
      <c r="J760">
        <f t="shared" si="12"/>
        <v>1</v>
      </c>
    </row>
    <row r="761" spans="7:10" ht="19.95" customHeight="1" x14ac:dyDescent="0.3">
      <c r="G761">
        <v>759</v>
      </c>
      <c r="H761" s="3">
        <v>3.513272916730565E-2</v>
      </c>
      <c r="I761" s="3">
        <v>6.5362140311143443E-2</v>
      </c>
      <c r="J761">
        <f t="shared" si="12"/>
        <v>0</v>
      </c>
    </row>
    <row r="762" spans="7:10" ht="19.95" customHeight="1" x14ac:dyDescent="0.3">
      <c r="G762">
        <v>760</v>
      </c>
      <c r="H762" s="3">
        <v>-5.5126707839859863E-4</v>
      </c>
      <c r="I762" s="3">
        <v>-3.2883639121778677E-2</v>
      </c>
      <c r="J762">
        <f t="shared" si="12"/>
        <v>1</v>
      </c>
    </row>
    <row r="763" spans="7:10" ht="19.95" customHeight="1" x14ac:dyDescent="0.3">
      <c r="G763">
        <v>761</v>
      </c>
      <c r="H763" s="3">
        <v>2.2291530521066277E-2</v>
      </c>
      <c r="I763" s="3">
        <v>8.9357760461738087E-2</v>
      </c>
      <c r="J763">
        <f t="shared" si="12"/>
        <v>0</v>
      </c>
    </row>
    <row r="764" spans="7:10" ht="19.95" customHeight="1" x14ac:dyDescent="0.3">
      <c r="G764">
        <v>762</v>
      </c>
      <c r="H764" s="3">
        <v>4.3197779014498373E-2</v>
      </c>
      <c r="I764" s="3">
        <v>-1.3202692332911748E-3</v>
      </c>
      <c r="J764">
        <f t="shared" si="12"/>
        <v>1</v>
      </c>
    </row>
    <row r="765" spans="7:10" ht="19.95" customHeight="1" x14ac:dyDescent="0.3">
      <c r="G765">
        <v>763</v>
      </c>
      <c r="H765" s="3">
        <v>5.5559752770295942E-2</v>
      </c>
      <c r="I765" s="3">
        <v>6.321473444598949E-2</v>
      </c>
      <c r="J765">
        <f t="shared" si="12"/>
        <v>0</v>
      </c>
    </row>
    <row r="766" spans="7:10" ht="19.95" customHeight="1" x14ac:dyDescent="0.3">
      <c r="G766">
        <v>764</v>
      </c>
      <c r="H766" s="3">
        <v>3.1422947069647284E-3</v>
      </c>
      <c r="I766" s="3">
        <v>3.579682883929261E-2</v>
      </c>
      <c r="J766">
        <f t="shared" si="12"/>
        <v>0</v>
      </c>
    </row>
    <row r="767" spans="7:10" ht="19.95" customHeight="1" x14ac:dyDescent="0.3">
      <c r="G767">
        <v>765</v>
      </c>
      <c r="H767" s="3">
        <v>-2.2614371588506339E-3</v>
      </c>
      <c r="I767" s="3">
        <v>-5.8745243684637183E-2</v>
      </c>
      <c r="J767">
        <f t="shared" si="12"/>
        <v>1</v>
      </c>
    </row>
    <row r="768" spans="7:10" ht="19.95" customHeight="1" x14ac:dyDescent="0.3">
      <c r="G768">
        <v>766</v>
      </c>
      <c r="H768" s="3">
        <v>1.7891016817276992E-2</v>
      </c>
      <c r="I768" s="3">
        <v>-1.3788648041747781E-2</v>
      </c>
      <c r="J768">
        <f t="shared" si="12"/>
        <v>1</v>
      </c>
    </row>
    <row r="769" spans="7:10" ht="19.95" customHeight="1" x14ac:dyDescent="0.3">
      <c r="G769">
        <v>767</v>
      </c>
      <c r="H769" s="3">
        <v>-1.9692852958663874E-2</v>
      </c>
      <c r="I769" s="3">
        <v>-6.6928753775588795E-2</v>
      </c>
      <c r="J769">
        <f t="shared" si="12"/>
        <v>1</v>
      </c>
    </row>
    <row r="770" spans="7:10" ht="19.95" customHeight="1" x14ac:dyDescent="0.3">
      <c r="G770">
        <v>768</v>
      </c>
      <c r="H770" s="3">
        <v>-2.1386000585578019E-2</v>
      </c>
      <c r="I770" s="3">
        <v>-3.6872271618270565E-2</v>
      </c>
      <c r="J770">
        <f t="shared" si="12"/>
        <v>1</v>
      </c>
    </row>
    <row r="771" spans="7:10" ht="19.95" customHeight="1" x14ac:dyDescent="0.3">
      <c r="G771">
        <v>769</v>
      </c>
      <c r="H771" s="3">
        <v>8.610724101791345E-2</v>
      </c>
      <c r="I771" s="3">
        <v>-3.4521681463957732E-2</v>
      </c>
      <c r="J771">
        <f t="shared" si="12"/>
        <v>1</v>
      </c>
    </row>
    <row r="772" spans="7:10" ht="19.95" customHeight="1" x14ac:dyDescent="0.3">
      <c r="G772">
        <v>770</v>
      </c>
      <c r="H772" s="3">
        <v>1.4168690996840497E-2</v>
      </c>
      <c r="I772" s="3">
        <v>-6.7049859933858855E-2</v>
      </c>
      <c r="J772">
        <f t="shared" ref="J772:J835" si="13">IF(H772&gt;I772,1,0)</f>
        <v>1</v>
      </c>
    </row>
    <row r="773" spans="7:10" ht="19.95" customHeight="1" x14ac:dyDescent="0.3">
      <c r="G773">
        <v>771</v>
      </c>
      <c r="H773" s="3">
        <v>3.0775388471390268E-3</v>
      </c>
      <c r="I773" s="3">
        <v>-7.8604002464423672E-2</v>
      </c>
      <c r="J773">
        <f t="shared" si="13"/>
        <v>1</v>
      </c>
    </row>
    <row r="774" spans="7:10" ht="19.95" customHeight="1" x14ac:dyDescent="0.3">
      <c r="G774">
        <v>772</v>
      </c>
      <c r="H774" s="3">
        <v>-0.11056360353404227</v>
      </c>
      <c r="I774" s="3">
        <v>-9.0941212912633695E-3</v>
      </c>
      <c r="J774">
        <f t="shared" si="13"/>
        <v>0</v>
      </c>
    </row>
    <row r="775" spans="7:10" ht="19.95" customHeight="1" x14ac:dyDescent="0.3">
      <c r="G775">
        <v>773</v>
      </c>
      <c r="H775" s="3">
        <v>0.19964936622420754</v>
      </c>
      <c r="I775" s="3">
        <v>0.10360930913302985</v>
      </c>
      <c r="J775">
        <f t="shared" si="13"/>
        <v>1</v>
      </c>
    </row>
    <row r="776" spans="7:10" ht="19.95" customHeight="1" x14ac:dyDescent="0.3">
      <c r="G776">
        <v>774</v>
      </c>
      <c r="H776" s="3">
        <v>-9.8773715820996408E-2</v>
      </c>
      <c r="I776" s="3">
        <v>-2.1218079024944166E-2</v>
      </c>
      <c r="J776">
        <f t="shared" si="13"/>
        <v>0</v>
      </c>
    </row>
    <row r="777" spans="7:10" ht="19.95" customHeight="1" x14ac:dyDescent="0.3">
      <c r="G777">
        <v>775</v>
      </c>
      <c r="H777" s="3">
        <v>6.5637441994389367E-2</v>
      </c>
      <c r="I777" s="3">
        <v>0.13382613314665634</v>
      </c>
      <c r="J777">
        <f t="shared" si="13"/>
        <v>0</v>
      </c>
    </row>
    <row r="778" spans="7:10" ht="19.95" customHeight="1" x14ac:dyDescent="0.3">
      <c r="G778">
        <v>776</v>
      </c>
      <c r="H778" s="3">
        <v>-0.1670677065027506</v>
      </c>
      <c r="I778" s="3">
        <v>-5.7789725353925112E-2</v>
      </c>
      <c r="J778">
        <f t="shared" si="13"/>
        <v>0</v>
      </c>
    </row>
    <row r="779" spans="7:10" ht="19.95" customHeight="1" x14ac:dyDescent="0.3">
      <c r="G779">
        <v>777</v>
      </c>
      <c r="H779" s="3">
        <v>2.8183794393509327E-2</v>
      </c>
      <c r="I779" s="3">
        <v>-0.11449098642047092</v>
      </c>
      <c r="J779">
        <f t="shared" si="13"/>
        <v>1</v>
      </c>
    </row>
    <row r="780" spans="7:10" ht="19.95" customHeight="1" x14ac:dyDescent="0.3">
      <c r="G780">
        <v>778</v>
      </c>
      <c r="H780" s="3">
        <v>4.9407262366149972E-2</v>
      </c>
      <c r="I780" s="3">
        <v>5.6676062256389735E-2</v>
      </c>
      <c r="J780">
        <f t="shared" si="13"/>
        <v>0</v>
      </c>
    </row>
    <row r="781" spans="7:10" ht="19.95" customHeight="1" x14ac:dyDescent="0.3">
      <c r="G781">
        <v>779</v>
      </c>
      <c r="H781" s="3">
        <v>0.12469438350203658</v>
      </c>
      <c r="I781" s="3">
        <v>0.11375662809899341</v>
      </c>
      <c r="J781">
        <f t="shared" si="13"/>
        <v>1</v>
      </c>
    </row>
    <row r="782" spans="7:10" ht="19.95" customHeight="1" x14ac:dyDescent="0.3">
      <c r="G782">
        <v>780</v>
      </c>
      <c r="H782" s="3">
        <v>0.11506729645981016</v>
      </c>
      <c r="I782" s="3">
        <v>6.7950536630260613E-2</v>
      </c>
      <c r="J782">
        <f t="shared" si="13"/>
        <v>1</v>
      </c>
    </row>
    <row r="783" spans="7:10" ht="19.95" customHeight="1" x14ac:dyDescent="0.3">
      <c r="G783">
        <v>781</v>
      </c>
      <c r="H783" s="3">
        <v>0.12767954045620342</v>
      </c>
      <c r="I783" s="3">
        <v>0.27391249151183639</v>
      </c>
      <c r="J783">
        <f t="shared" si="13"/>
        <v>0</v>
      </c>
    </row>
    <row r="784" spans="7:10" ht="19.95" customHeight="1" x14ac:dyDescent="0.3">
      <c r="G784">
        <v>782</v>
      </c>
      <c r="H784" s="3">
        <v>-0.10860147602371746</v>
      </c>
      <c r="I784" s="3">
        <v>-0.19329488753497115</v>
      </c>
      <c r="J784">
        <f t="shared" si="13"/>
        <v>1</v>
      </c>
    </row>
    <row r="785" spans="7:10" ht="19.95" customHeight="1" x14ac:dyDescent="0.3">
      <c r="G785">
        <v>783</v>
      </c>
      <c r="H785" s="3">
        <v>4.1699049307482666E-2</v>
      </c>
      <c r="I785" s="3">
        <v>6.2145063393919786E-2</v>
      </c>
      <c r="J785">
        <f t="shared" si="13"/>
        <v>0</v>
      </c>
    </row>
    <row r="786" spans="7:10" ht="19.95" customHeight="1" x14ac:dyDescent="0.3">
      <c r="G786">
        <v>784</v>
      </c>
      <c r="H786" s="3">
        <v>7.6059445065278092E-2</v>
      </c>
      <c r="I786" s="3">
        <v>7.4750984097034207E-2</v>
      </c>
      <c r="J786">
        <f t="shared" si="13"/>
        <v>1</v>
      </c>
    </row>
    <row r="787" spans="7:10" ht="19.95" customHeight="1" x14ac:dyDescent="0.3">
      <c r="G787">
        <v>785</v>
      </c>
      <c r="H787" s="3">
        <v>3.1598665598182911E-2</v>
      </c>
      <c r="I787" s="3">
        <v>-4.5308860537590777E-2</v>
      </c>
      <c r="J787">
        <f t="shared" si="13"/>
        <v>1</v>
      </c>
    </row>
    <row r="788" spans="7:10" ht="19.95" customHeight="1" x14ac:dyDescent="0.3">
      <c r="G788">
        <v>786</v>
      </c>
      <c r="H788" s="3">
        <v>0.22773978601387784</v>
      </c>
      <c r="I788" s="3">
        <v>4.3745405745559393E-2</v>
      </c>
      <c r="J788">
        <f t="shared" si="13"/>
        <v>1</v>
      </c>
    </row>
    <row r="789" spans="7:10" ht="19.95" customHeight="1" x14ac:dyDescent="0.3">
      <c r="G789">
        <v>787</v>
      </c>
      <c r="H789" s="3">
        <v>-7.1357599806812014E-2</v>
      </c>
      <c r="I789" s="3">
        <v>-1.4926306211900511E-2</v>
      </c>
      <c r="J789">
        <f t="shared" si="13"/>
        <v>0</v>
      </c>
    </row>
    <row r="790" spans="7:10" ht="19.95" customHeight="1" x14ac:dyDescent="0.3">
      <c r="G790">
        <v>788</v>
      </c>
      <c r="H790" s="3">
        <v>6.7520074047611837E-3</v>
      </c>
      <c r="I790" s="3">
        <v>7.5633132848541293E-3</v>
      </c>
      <c r="J790">
        <f t="shared" si="13"/>
        <v>0</v>
      </c>
    </row>
    <row r="791" spans="7:10" ht="19.95" customHeight="1" x14ac:dyDescent="0.3">
      <c r="G791">
        <v>789</v>
      </c>
      <c r="H791" s="3">
        <v>0.14789399375165535</v>
      </c>
      <c r="I791" s="3">
        <v>4.509278944795353E-2</v>
      </c>
      <c r="J791">
        <f t="shared" si="13"/>
        <v>1</v>
      </c>
    </row>
    <row r="792" spans="7:10" ht="19.95" customHeight="1" x14ac:dyDescent="0.3">
      <c r="G792">
        <v>790</v>
      </c>
      <c r="H792" s="3">
        <v>-5.6476852757003718E-2</v>
      </c>
      <c r="I792" s="3">
        <v>8.7080180641928122E-3</v>
      </c>
      <c r="J792">
        <f t="shared" si="13"/>
        <v>0</v>
      </c>
    </row>
    <row r="793" spans="7:10" ht="19.95" customHeight="1" x14ac:dyDescent="0.3">
      <c r="G793">
        <v>791</v>
      </c>
      <c r="H793" s="3">
        <v>-0.10402427973199162</v>
      </c>
      <c r="I793" s="3">
        <v>-7.2241091696552878E-2</v>
      </c>
      <c r="J793">
        <f t="shared" si="13"/>
        <v>0</v>
      </c>
    </row>
    <row r="794" spans="7:10" ht="19.95" customHeight="1" x14ac:dyDescent="0.3">
      <c r="G794">
        <v>792</v>
      </c>
      <c r="H794" s="3">
        <v>0.10556424856865607</v>
      </c>
      <c r="I794" s="3">
        <v>5.9216189756325421E-2</v>
      </c>
      <c r="J794">
        <f t="shared" si="13"/>
        <v>1</v>
      </c>
    </row>
    <row r="795" spans="7:10" ht="19.95" customHeight="1" x14ac:dyDescent="0.3">
      <c r="G795">
        <v>793</v>
      </c>
      <c r="H795" s="3">
        <v>0.17080611121892317</v>
      </c>
      <c r="I795" s="3">
        <v>9.0990900988598092E-2</v>
      </c>
      <c r="J795">
        <f t="shared" si="13"/>
        <v>1</v>
      </c>
    </row>
    <row r="796" spans="7:10" ht="19.95" customHeight="1" x14ac:dyDescent="0.3">
      <c r="G796">
        <v>794</v>
      </c>
      <c r="H796" s="3">
        <v>6.3817790023665083E-2</v>
      </c>
      <c r="I796" s="3">
        <v>0.19494743615357615</v>
      </c>
      <c r="J796">
        <f t="shared" si="13"/>
        <v>0</v>
      </c>
    </row>
    <row r="797" spans="7:10" ht="19.95" customHeight="1" x14ac:dyDescent="0.3">
      <c r="G797">
        <v>795</v>
      </c>
      <c r="H797" s="3">
        <v>-7.2000471300839308E-2</v>
      </c>
      <c r="I797" s="3">
        <v>4.327710155739125E-3</v>
      </c>
      <c r="J797">
        <f t="shared" si="13"/>
        <v>0</v>
      </c>
    </row>
    <row r="798" spans="7:10" ht="19.95" customHeight="1" x14ac:dyDescent="0.3">
      <c r="G798">
        <v>796</v>
      </c>
      <c r="H798" s="3">
        <v>0.18333615659739649</v>
      </c>
      <c r="I798" s="3">
        <v>0.11547711874826748</v>
      </c>
      <c r="J798">
        <f t="shared" si="13"/>
        <v>1</v>
      </c>
    </row>
    <row r="799" spans="7:10" ht="19.95" customHeight="1" x14ac:dyDescent="0.3">
      <c r="G799">
        <v>797</v>
      </c>
      <c r="H799" s="3">
        <v>-9.2705549473621002E-2</v>
      </c>
      <c r="I799" s="3">
        <v>-3.8232016269170978E-2</v>
      </c>
      <c r="J799">
        <f t="shared" si="13"/>
        <v>0</v>
      </c>
    </row>
    <row r="800" spans="7:10" ht="19.95" customHeight="1" x14ac:dyDescent="0.3">
      <c r="G800">
        <v>798</v>
      </c>
      <c r="H800" s="3">
        <v>-0.11653604993918101</v>
      </c>
      <c r="I800" s="3">
        <v>-6.8461277402862286E-2</v>
      </c>
      <c r="J800">
        <f t="shared" si="13"/>
        <v>0</v>
      </c>
    </row>
    <row r="801" spans="7:10" ht="19.95" customHeight="1" x14ac:dyDescent="0.3">
      <c r="G801">
        <v>799</v>
      </c>
      <c r="H801" s="3">
        <v>-9.5604882706540301E-2</v>
      </c>
      <c r="I801" s="3">
        <v>-0.13337035565379748</v>
      </c>
      <c r="J801">
        <f t="shared" si="13"/>
        <v>1</v>
      </c>
    </row>
    <row r="802" spans="7:10" ht="19.95" customHeight="1" x14ac:dyDescent="0.3">
      <c r="G802">
        <v>800</v>
      </c>
      <c r="H802" s="3">
        <v>0.14668559734717268</v>
      </c>
      <c r="I802" s="3">
        <v>0.14128642074160144</v>
      </c>
      <c r="J802">
        <f t="shared" si="13"/>
        <v>1</v>
      </c>
    </row>
    <row r="803" spans="7:10" ht="19.95" customHeight="1" x14ac:dyDescent="0.3">
      <c r="G803">
        <v>801</v>
      </c>
      <c r="H803" s="3">
        <v>0.2133250647585046</v>
      </c>
      <c r="I803" s="3">
        <v>0.22541060250469078</v>
      </c>
      <c r="J803">
        <f t="shared" si="13"/>
        <v>0</v>
      </c>
    </row>
    <row r="804" spans="7:10" ht="19.95" customHeight="1" x14ac:dyDescent="0.3">
      <c r="G804">
        <v>802</v>
      </c>
      <c r="H804" s="3">
        <v>-9.4065107102035868E-3</v>
      </c>
      <c r="I804" s="3">
        <v>9.1915213343437371E-2</v>
      </c>
      <c r="J804">
        <f t="shared" si="13"/>
        <v>0</v>
      </c>
    </row>
    <row r="805" spans="7:10" ht="19.95" customHeight="1" x14ac:dyDescent="0.3">
      <c r="G805">
        <v>803</v>
      </c>
      <c r="H805" s="3">
        <v>-0.18438787798280476</v>
      </c>
      <c r="I805" s="3">
        <v>-0.25049326726914078</v>
      </c>
      <c r="J805">
        <f t="shared" si="13"/>
        <v>1</v>
      </c>
    </row>
    <row r="806" spans="7:10" ht="19.95" customHeight="1" x14ac:dyDescent="0.3">
      <c r="G806">
        <v>804</v>
      </c>
      <c r="H806" s="3">
        <v>-4.9594742174375719E-2</v>
      </c>
      <c r="I806" s="3">
        <v>-9.2271508449357748E-2</v>
      </c>
      <c r="J806">
        <f t="shared" si="13"/>
        <v>1</v>
      </c>
    </row>
    <row r="807" spans="7:10" ht="19.95" customHeight="1" x14ac:dyDescent="0.3">
      <c r="G807">
        <v>805</v>
      </c>
      <c r="H807" s="3">
        <v>-6.6067634182135002E-3</v>
      </c>
      <c r="I807" s="3">
        <v>9.8956574420000026E-2</v>
      </c>
      <c r="J807">
        <f t="shared" si="13"/>
        <v>0</v>
      </c>
    </row>
    <row r="808" spans="7:10" ht="19.95" customHeight="1" x14ac:dyDescent="0.3">
      <c r="G808">
        <v>806</v>
      </c>
      <c r="H808" s="3">
        <v>4.6794578456731212E-2</v>
      </c>
      <c r="I808" s="3">
        <v>9.4201332111745247E-3</v>
      </c>
      <c r="J808">
        <f t="shared" si="13"/>
        <v>1</v>
      </c>
    </row>
    <row r="809" spans="7:10" ht="19.95" customHeight="1" x14ac:dyDescent="0.3">
      <c r="G809">
        <v>807</v>
      </c>
      <c r="H809" s="3">
        <v>3.8778862213692131E-2</v>
      </c>
      <c r="I809" s="3">
        <v>-4.2784903941216396E-2</v>
      </c>
      <c r="J809">
        <f t="shared" si="13"/>
        <v>1</v>
      </c>
    </row>
    <row r="810" spans="7:10" ht="19.95" customHeight="1" x14ac:dyDescent="0.3">
      <c r="G810">
        <v>808</v>
      </c>
      <c r="H810" s="3">
        <v>0.24779397215327251</v>
      </c>
      <c r="I810" s="3">
        <v>6.740411369040164E-2</v>
      </c>
      <c r="J810">
        <f t="shared" si="13"/>
        <v>1</v>
      </c>
    </row>
    <row r="811" spans="7:10" ht="19.95" customHeight="1" x14ac:dyDescent="0.3">
      <c r="G811">
        <v>809</v>
      </c>
      <c r="H811" s="3">
        <v>-9.3199594543492484E-3</v>
      </c>
      <c r="I811" s="3">
        <v>8.6931031448201801E-2</v>
      </c>
      <c r="J811">
        <f t="shared" si="13"/>
        <v>0</v>
      </c>
    </row>
    <row r="812" spans="7:10" ht="19.95" customHeight="1" x14ac:dyDescent="0.3">
      <c r="G812">
        <v>810</v>
      </c>
      <c r="H812" s="3">
        <v>-8.5894062912560548E-3</v>
      </c>
      <c r="I812" s="3">
        <v>4.6644698840668075E-2</v>
      </c>
      <c r="J812">
        <f t="shared" si="13"/>
        <v>0</v>
      </c>
    </row>
    <row r="813" spans="7:10" ht="19.95" customHeight="1" x14ac:dyDescent="0.3">
      <c r="G813">
        <v>811</v>
      </c>
      <c r="H813" s="3">
        <v>-6.3937584122307864E-2</v>
      </c>
      <c r="I813" s="3">
        <v>-1.7286203029584658E-2</v>
      </c>
      <c r="J813">
        <f t="shared" si="13"/>
        <v>0</v>
      </c>
    </row>
    <row r="814" spans="7:10" ht="19.95" customHeight="1" x14ac:dyDescent="0.3">
      <c r="G814">
        <v>812</v>
      </c>
      <c r="H814" s="3">
        <v>-0.12834435990682275</v>
      </c>
      <c r="I814" s="3">
        <v>-0.19113771802691901</v>
      </c>
      <c r="J814">
        <f t="shared" si="13"/>
        <v>1</v>
      </c>
    </row>
    <row r="815" spans="7:10" ht="19.95" customHeight="1" x14ac:dyDescent="0.3">
      <c r="G815">
        <v>813</v>
      </c>
      <c r="H815" s="3">
        <v>7.0233879476643252E-2</v>
      </c>
      <c r="I815" s="3">
        <v>-7.7176582729049592E-2</v>
      </c>
      <c r="J815">
        <f t="shared" si="13"/>
        <v>1</v>
      </c>
    </row>
    <row r="816" spans="7:10" ht="19.95" customHeight="1" x14ac:dyDescent="0.3">
      <c r="G816">
        <v>814</v>
      </c>
      <c r="H816" s="3">
        <v>3.2634251774996161E-3</v>
      </c>
      <c r="I816" s="3">
        <v>-3.4980110482656292E-2</v>
      </c>
      <c r="J816">
        <f t="shared" si="13"/>
        <v>1</v>
      </c>
    </row>
    <row r="817" spans="7:10" ht="19.95" customHeight="1" x14ac:dyDescent="0.3">
      <c r="G817">
        <v>815</v>
      </c>
      <c r="H817" s="3">
        <v>-8.0279166259739215E-2</v>
      </c>
      <c r="I817" s="3">
        <v>-0.18490236392821258</v>
      </c>
      <c r="J817">
        <f t="shared" si="13"/>
        <v>1</v>
      </c>
    </row>
    <row r="818" spans="7:10" ht="19.95" customHeight="1" x14ac:dyDescent="0.3">
      <c r="G818">
        <v>816</v>
      </c>
      <c r="H818" s="3">
        <v>-2.9543160930968312E-2</v>
      </c>
      <c r="I818" s="3">
        <v>8.9622504614616613E-2</v>
      </c>
      <c r="J818">
        <f t="shared" si="13"/>
        <v>0</v>
      </c>
    </row>
    <row r="819" spans="7:10" ht="19.95" customHeight="1" x14ac:dyDescent="0.3">
      <c r="G819">
        <v>817</v>
      </c>
      <c r="H819" s="3">
        <v>-7.4961233515105724E-2</v>
      </c>
      <c r="I819" s="3">
        <v>-0.14742538943230318</v>
      </c>
      <c r="J819">
        <f t="shared" si="13"/>
        <v>1</v>
      </c>
    </row>
    <row r="820" spans="7:10" ht="19.95" customHeight="1" x14ac:dyDescent="0.3">
      <c r="G820">
        <v>818</v>
      </c>
      <c r="H820" s="3">
        <v>-3.6024292587854126E-2</v>
      </c>
      <c r="I820" s="3">
        <v>-1.803161313581032E-2</v>
      </c>
      <c r="J820">
        <f t="shared" si="13"/>
        <v>0</v>
      </c>
    </row>
    <row r="821" spans="7:10" ht="19.95" customHeight="1" x14ac:dyDescent="0.3">
      <c r="G821">
        <v>819</v>
      </c>
      <c r="H821" s="3">
        <v>-5.646840369018246E-2</v>
      </c>
      <c r="I821" s="3">
        <v>-3.1836234695137189E-2</v>
      </c>
      <c r="J821">
        <f t="shared" si="13"/>
        <v>0</v>
      </c>
    </row>
    <row r="822" spans="7:10" ht="19.95" customHeight="1" x14ac:dyDescent="0.3">
      <c r="G822">
        <v>820</v>
      </c>
      <c r="H822" s="3">
        <v>-4.0388606317037279E-2</v>
      </c>
      <c r="I822" s="3">
        <v>-6.5430977819098721E-2</v>
      </c>
      <c r="J822">
        <f t="shared" si="13"/>
        <v>1</v>
      </c>
    </row>
    <row r="823" spans="7:10" ht="19.95" customHeight="1" x14ac:dyDescent="0.3">
      <c r="G823">
        <v>821</v>
      </c>
      <c r="H823" s="3">
        <v>3.1645108044282895E-2</v>
      </c>
      <c r="I823" s="3">
        <v>-7.8573539897309891E-2</v>
      </c>
      <c r="J823">
        <f t="shared" si="13"/>
        <v>1</v>
      </c>
    </row>
    <row r="824" spans="7:10" ht="19.95" customHeight="1" x14ac:dyDescent="0.3">
      <c r="G824">
        <v>822</v>
      </c>
      <c r="H824" s="3">
        <v>0.16560800782844076</v>
      </c>
      <c r="I824" s="3">
        <v>0.14963966676215168</v>
      </c>
      <c r="J824">
        <f t="shared" si="13"/>
        <v>1</v>
      </c>
    </row>
    <row r="825" spans="7:10" ht="19.95" customHeight="1" x14ac:dyDescent="0.3">
      <c r="G825">
        <v>823</v>
      </c>
      <c r="H825" s="3">
        <v>-1.6777852643650469E-2</v>
      </c>
      <c r="I825" s="3">
        <v>-6.4110802727178257E-2</v>
      </c>
      <c r="J825">
        <f t="shared" si="13"/>
        <v>1</v>
      </c>
    </row>
    <row r="826" spans="7:10" ht="19.95" customHeight="1" x14ac:dyDescent="0.3">
      <c r="G826">
        <v>824</v>
      </c>
      <c r="H826" s="3">
        <v>-6.3488182745404742E-2</v>
      </c>
      <c r="I826" s="3">
        <v>-0.10399009918051866</v>
      </c>
      <c r="J826">
        <f t="shared" si="13"/>
        <v>1</v>
      </c>
    </row>
    <row r="827" spans="7:10" ht="19.95" customHeight="1" x14ac:dyDescent="0.3">
      <c r="G827">
        <v>825</v>
      </c>
      <c r="H827" s="3">
        <v>0.13024718002196012</v>
      </c>
      <c r="I827" s="3">
        <v>2.3150538056623197E-2</v>
      </c>
      <c r="J827">
        <f t="shared" si="13"/>
        <v>1</v>
      </c>
    </row>
    <row r="828" spans="7:10" ht="19.95" customHeight="1" x14ac:dyDescent="0.3">
      <c r="G828">
        <v>826</v>
      </c>
      <c r="H828" s="3">
        <v>-0.11451482185489147</v>
      </c>
      <c r="I828" s="3">
        <v>-2.5692553743858419E-2</v>
      </c>
      <c r="J828">
        <f t="shared" si="13"/>
        <v>0</v>
      </c>
    </row>
    <row r="829" spans="7:10" ht="19.95" customHeight="1" x14ac:dyDescent="0.3">
      <c r="G829">
        <v>827</v>
      </c>
      <c r="H829" s="3">
        <v>7.3829223611176192E-2</v>
      </c>
      <c r="I829" s="3">
        <v>9.3916405812070364E-2</v>
      </c>
      <c r="J829">
        <f t="shared" si="13"/>
        <v>0</v>
      </c>
    </row>
    <row r="830" spans="7:10" ht="19.95" customHeight="1" x14ac:dyDescent="0.3">
      <c r="G830">
        <v>828</v>
      </c>
      <c r="H830" s="3">
        <v>-1.1671018875491813E-2</v>
      </c>
      <c r="I830" s="3">
        <v>7.427632991049446E-2</v>
      </c>
      <c r="J830">
        <f t="shared" si="13"/>
        <v>0</v>
      </c>
    </row>
    <row r="831" spans="7:10" ht="19.95" customHeight="1" x14ac:dyDescent="0.3">
      <c r="G831">
        <v>829</v>
      </c>
      <c r="H831" s="3">
        <v>9.5116040536920576E-2</v>
      </c>
      <c r="I831" s="3">
        <v>0.16929692839717947</v>
      </c>
      <c r="J831">
        <f t="shared" si="13"/>
        <v>0</v>
      </c>
    </row>
    <row r="832" spans="7:10" ht="19.95" customHeight="1" x14ac:dyDescent="0.3">
      <c r="G832">
        <v>830</v>
      </c>
      <c r="H832" s="3">
        <v>-0.10307158096060419</v>
      </c>
      <c r="I832" s="3">
        <v>-0.13220697545735996</v>
      </c>
      <c r="J832">
        <f t="shared" si="13"/>
        <v>1</v>
      </c>
    </row>
    <row r="833" spans="7:10" ht="19.95" customHeight="1" x14ac:dyDescent="0.3">
      <c r="G833">
        <v>831</v>
      </c>
      <c r="H833" s="3">
        <v>-4.1760042406420242E-2</v>
      </c>
      <c r="I833" s="3">
        <v>1.1209983481152661E-2</v>
      </c>
      <c r="J833">
        <f t="shared" si="13"/>
        <v>0</v>
      </c>
    </row>
    <row r="834" spans="7:10" ht="19.95" customHeight="1" x14ac:dyDescent="0.3">
      <c r="G834">
        <v>832</v>
      </c>
      <c r="H834" s="3">
        <v>0.2103044809014013</v>
      </c>
      <c r="I834" s="3">
        <v>0.13627283934746409</v>
      </c>
      <c r="J834">
        <f t="shared" si="13"/>
        <v>1</v>
      </c>
    </row>
    <row r="835" spans="7:10" ht="19.95" customHeight="1" x14ac:dyDescent="0.3">
      <c r="G835">
        <v>833</v>
      </c>
      <c r="H835" s="3">
        <v>1.71480491787252E-2</v>
      </c>
      <c r="I835" s="3">
        <v>-5.1398757504561694E-2</v>
      </c>
      <c r="J835">
        <f t="shared" si="13"/>
        <v>1</v>
      </c>
    </row>
    <row r="836" spans="7:10" ht="19.95" customHeight="1" x14ac:dyDescent="0.3">
      <c r="G836">
        <v>834</v>
      </c>
      <c r="H836" s="3">
        <v>6.4705377193547728E-2</v>
      </c>
      <c r="I836" s="3">
        <v>7.823587131233907E-2</v>
      </c>
      <c r="J836">
        <f t="shared" ref="J836:J899" si="14">IF(H836&gt;I836,1,0)</f>
        <v>0</v>
      </c>
    </row>
    <row r="837" spans="7:10" ht="19.95" customHeight="1" x14ac:dyDescent="0.3">
      <c r="G837">
        <v>835</v>
      </c>
      <c r="H837" s="3">
        <v>-0.13690040021445116</v>
      </c>
      <c r="I837" s="3">
        <v>-0.1520127424112476</v>
      </c>
      <c r="J837">
        <f t="shared" si="14"/>
        <v>1</v>
      </c>
    </row>
    <row r="838" spans="7:10" ht="19.95" customHeight="1" x14ac:dyDescent="0.3">
      <c r="G838">
        <v>836</v>
      </c>
      <c r="H838" s="3">
        <v>5.2254991156203273E-3</v>
      </c>
      <c r="I838" s="3">
        <v>-0.10251945942975484</v>
      </c>
      <c r="J838">
        <f t="shared" si="14"/>
        <v>1</v>
      </c>
    </row>
    <row r="839" spans="7:10" ht="19.95" customHeight="1" x14ac:dyDescent="0.3">
      <c r="G839">
        <v>837</v>
      </c>
      <c r="H839" s="3">
        <v>-1.855363894312853E-3</v>
      </c>
      <c r="I839" s="3">
        <v>-8.3237753636742753E-2</v>
      </c>
      <c r="J839">
        <f t="shared" si="14"/>
        <v>1</v>
      </c>
    </row>
    <row r="840" spans="7:10" ht="19.95" customHeight="1" x14ac:dyDescent="0.3">
      <c r="G840">
        <v>838</v>
      </c>
      <c r="H840" s="3">
        <v>4.8287025074939101E-2</v>
      </c>
      <c r="I840" s="3">
        <v>4.4625539039978165E-2</v>
      </c>
      <c r="J840">
        <f t="shared" si="14"/>
        <v>1</v>
      </c>
    </row>
    <row r="841" spans="7:10" ht="19.95" customHeight="1" x14ac:dyDescent="0.3">
      <c r="G841">
        <v>839</v>
      </c>
      <c r="H841" s="3">
        <v>-1.5641492550061937E-2</v>
      </c>
      <c r="I841" s="3">
        <v>-1.8436401587605455E-2</v>
      </c>
      <c r="J841">
        <f t="shared" si="14"/>
        <v>1</v>
      </c>
    </row>
    <row r="842" spans="7:10" ht="19.95" customHeight="1" x14ac:dyDescent="0.3">
      <c r="G842">
        <v>840</v>
      </c>
      <c r="H842" s="3">
        <v>1.7652626967329582E-2</v>
      </c>
      <c r="I842" s="3">
        <v>3.7184708009825596E-2</v>
      </c>
      <c r="J842">
        <f t="shared" si="14"/>
        <v>0</v>
      </c>
    </row>
    <row r="843" spans="7:10" ht="19.95" customHeight="1" x14ac:dyDescent="0.3">
      <c r="G843">
        <v>841</v>
      </c>
      <c r="H843" s="3">
        <v>3.5600692609965276E-2</v>
      </c>
      <c r="I843" s="3">
        <v>0.16721439578343031</v>
      </c>
      <c r="J843">
        <f t="shared" si="14"/>
        <v>0</v>
      </c>
    </row>
    <row r="844" spans="7:10" ht="19.95" customHeight="1" x14ac:dyDescent="0.3">
      <c r="G844">
        <v>842</v>
      </c>
      <c r="H844" s="3">
        <v>2.6469901389014235E-2</v>
      </c>
      <c r="I844" s="3">
        <v>-2.4152513879758084E-3</v>
      </c>
      <c r="J844">
        <f t="shared" si="14"/>
        <v>1</v>
      </c>
    </row>
    <row r="845" spans="7:10" ht="19.95" customHeight="1" x14ac:dyDescent="0.3">
      <c r="G845">
        <v>843</v>
      </c>
      <c r="H845" s="3">
        <v>0.10562770654226514</v>
      </c>
      <c r="I845" s="3">
        <v>0.14970906458699784</v>
      </c>
      <c r="J845">
        <f t="shared" si="14"/>
        <v>0</v>
      </c>
    </row>
    <row r="846" spans="7:10" ht="19.95" customHeight="1" x14ac:dyDescent="0.3">
      <c r="G846">
        <v>844</v>
      </c>
      <c r="H846" s="3">
        <v>0.14036368963065238</v>
      </c>
      <c r="I846" s="3">
        <v>0.22402701257483337</v>
      </c>
      <c r="J846">
        <f t="shared" si="14"/>
        <v>0</v>
      </c>
    </row>
    <row r="847" spans="7:10" ht="19.95" customHeight="1" x14ac:dyDescent="0.3">
      <c r="G847">
        <v>845</v>
      </c>
      <c r="H847" s="3">
        <v>0.10629579069145395</v>
      </c>
      <c r="I847" s="3">
        <v>-5.1562267837051839E-2</v>
      </c>
      <c r="J847">
        <f t="shared" si="14"/>
        <v>1</v>
      </c>
    </row>
    <row r="848" spans="7:10" ht="19.95" customHeight="1" x14ac:dyDescent="0.3">
      <c r="G848">
        <v>846</v>
      </c>
      <c r="H848" s="3">
        <v>9.9604785454541961E-2</v>
      </c>
      <c r="I848" s="3">
        <v>0.11673187557274919</v>
      </c>
      <c r="J848">
        <f t="shared" si="14"/>
        <v>0</v>
      </c>
    </row>
    <row r="849" spans="7:10" ht="19.95" customHeight="1" x14ac:dyDescent="0.3">
      <c r="G849">
        <v>847</v>
      </c>
      <c r="H849" s="3">
        <v>0.40075585096106892</v>
      </c>
      <c r="I849" s="3">
        <v>0.35799091111437858</v>
      </c>
      <c r="J849">
        <f t="shared" si="14"/>
        <v>1</v>
      </c>
    </row>
    <row r="850" spans="7:10" ht="19.95" customHeight="1" x14ac:dyDescent="0.3">
      <c r="G850">
        <v>848</v>
      </c>
      <c r="H850" s="3">
        <v>-1.0542945084662962E-2</v>
      </c>
      <c r="I850" s="3">
        <v>3.2816529342309685E-2</v>
      </c>
      <c r="J850">
        <f t="shared" si="14"/>
        <v>0</v>
      </c>
    </row>
    <row r="851" spans="7:10" ht="19.95" customHeight="1" x14ac:dyDescent="0.3">
      <c r="G851">
        <v>849</v>
      </c>
      <c r="H851" s="3">
        <v>0.10642618047025125</v>
      </c>
      <c r="I851" s="3">
        <v>9.9560846937813238E-2</v>
      </c>
      <c r="J851">
        <f t="shared" si="14"/>
        <v>1</v>
      </c>
    </row>
    <row r="852" spans="7:10" ht="19.95" customHeight="1" x14ac:dyDescent="0.3">
      <c r="G852">
        <v>850</v>
      </c>
      <c r="H852" s="3">
        <v>0.2321053402875804</v>
      </c>
      <c r="I852" s="3">
        <v>0.15803574335818538</v>
      </c>
      <c r="J852">
        <f t="shared" si="14"/>
        <v>1</v>
      </c>
    </row>
    <row r="853" spans="7:10" ht="19.95" customHeight="1" x14ac:dyDescent="0.3">
      <c r="G853">
        <v>851</v>
      </c>
      <c r="H853" s="3">
        <v>0.15157851039215656</v>
      </c>
      <c r="I853" s="3">
        <v>0.24273032155715332</v>
      </c>
      <c r="J853">
        <f t="shared" si="14"/>
        <v>0</v>
      </c>
    </row>
    <row r="854" spans="7:10" ht="19.95" customHeight="1" x14ac:dyDescent="0.3">
      <c r="G854">
        <v>852</v>
      </c>
      <c r="H854" s="3">
        <v>0.26125191588993474</v>
      </c>
      <c r="I854" s="3">
        <v>0.19551666279159818</v>
      </c>
      <c r="J854">
        <f t="shared" si="14"/>
        <v>1</v>
      </c>
    </row>
    <row r="855" spans="7:10" ht="19.95" customHeight="1" x14ac:dyDescent="0.3">
      <c r="G855">
        <v>853</v>
      </c>
      <c r="H855" s="3">
        <v>0.12515564481529304</v>
      </c>
      <c r="I855" s="3">
        <v>9.2400673587998583E-2</v>
      </c>
      <c r="J855">
        <f t="shared" si="14"/>
        <v>1</v>
      </c>
    </row>
    <row r="856" spans="7:10" ht="19.95" customHeight="1" x14ac:dyDescent="0.3">
      <c r="G856">
        <v>854</v>
      </c>
      <c r="H856" s="3">
        <v>-1.0787175169359023E-2</v>
      </c>
      <c r="I856" s="3">
        <v>4.6509239256242799E-3</v>
      </c>
      <c r="J856">
        <f t="shared" si="14"/>
        <v>0</v>
      </c>
    </row>
    <row r="857" spans="7:10" ht="19.95" customHeight="1" x14ac:dyDescent="0.3">
      <c r="G857">
        <v>855</v>
      </c>
      <c r="H857" s="3">
        <v>8.1506663245114533E-2</v>
      </c>
      <c r="I857" s="3">
        <v>4.2034261085814192E-2</v>
      </c>
      <c r="J857">
        <f t="shared" si="14"/>
        <v>1</v>
      </c>
    </row>
    <row r="858" spans="7:10" ht="19.95" customHeight="1" x14ac:dyDescent="0.3">
      <c r="G858">
        <v>856</v>
      </c>
      <c r="H858" s="3">
        <v>1.7116124379687452E-2</v>
      </c>
      <c r="I858" s="3">
        <v>9.4385164021284725E-4</v>
      </c>
      <c r="J858">
        <f t="shared" si="14"/>
        <v>1</v>
      </c>
    </row>
    <row r="859" spans="7:10" ht="19.95" customHeight="1" x14ac:dyDescent="0.3">
      <c r="G859">
        <v>857</v>
      </c>
      <c r="H859" s="3">
        <v>-4.685349910847391E-2</v>
      </c>
      <c r="I859" s="3">
        <v>-7.3838561572034972E-2</v>
      </c>
      <c r="J859">
        <f t="shared" si="14"/>
        <v>1</v>
      </c>
    </row>
    <row r="860" spans="7:10" ht="19.95" customHeight="1" x14ac:dyDescent="0.3">
      <c r="G860">
        <v>858</v>
      </c>
      <c r="H860" s="3">
        <v>0.15936611817863863</v>
      </c>
      <c r="I860" s="3">
        <v>0.198727024458493</v>
      </c>
      <c r="J860">
        <f t="shared" si="14"/>
        <v>0</v>
      </c>
    </row>
    <row r="861" spans="7:10" ht="19.95" customHeight="1" x14ac:dyDescent="0.3">
      <c r="G861">
        <v>859</v>
      </c>
      <c r="H861" s="3">
        <v>0.13401680027869564</v>
      </c>
      <c r="I861" s="3">
        <v>0.19093680012617226</v>
      </c>
      <c r="J861">
        <f t="shared" si="14"/>
        <v>0</v>
      </c>
    </row>
    <row r="862" spans="7:10" ht="19.95" customHeight="1" x14ac:dyDescent="0.3">
      <c r="G862">
        <v>860</v>
      </c>
      <c r="H862" s="3">
        <v>6.5771086601158504E-2</v>
      </c>
      <c r="I862" s="3">
        <v>-1.8868738174389572E-2</v>
      </c>
      <c r="J862">
        <f t="shared" si="14"/>
        <v>1</v>
      </c>
    </row>
    <row r="863" spans="7:10" ht="19.95" customHeight="1" x14ac:dyDescent="0.3">
      <c r="G863">
        <v>861</v>
      </c>
      <c r="H863" s="3">
        <v>5.6918460045169768E-2</v>
      </c>
      <c r="I863" s="3">
        <v>-2.9779001103698226E-2</v>
      </c>
      <c r="J863">
        <f t="shared" si="14"/>
        <v>1</v>
      </c>
    </row>
    <row r="864" spans="7:10" ht="19.95" customHeight="1" x14ac:dyDescent="0.3">
      <c r="G864">
        <v>862</v>
      </c>
      <c r="H864" s="3">
        <v>0.11957632006630348</v>
      </c>
      <c r="I864" s="3">
        <v>0.14126595829991781</v>
      </c>
      <c r="J864">
        <f t="shared" si="14"/>
        <v>0</v>
      </c>
    </row>
    <row r="865" spans="7:10" ht="19.95" customHeight="1" x14ac:dyDescent="0.3">
      <c r="G865">
        <v>863</v>
      </c>
      <c r="H865" s="3">
        <v>-8.3632700347928468E-2</v>
      </c>
      <c r="I865" s="3">
        <v>-0.20392740972935391</v>
      </c>
      <c r="J865">
        <f t="shared" si="14"/>
        <v>1</v>
      </c>
    </row>
    <row r="866" spans="7:10" ht="19.95" customHeight="1" x14ac:dyDescent="0.3">
      <c r="G866">
        <v>864</v>
      </c>
      <c r="H866" s="3">
        <v>0.17095081356224673</v>
      </c>
      <c r="I866" s="3">
        <v>9.8152438297132952E-2</v>
      </c>
      <c r="J866">
        <f t="shared" si="14"/>
        <v>1</v>
      </c>
    </row>
    <row r="867" spans="7:10" ht="19.95" customHeight="1" x14ac:dyDescent="0.3">
      <c r="G867">
        <v>865</v>
      </c>
      <c r="H867" s="3">
        <v>9.9587327357735372E-2</v>
      </c>
      <c r="I867" s="3">
        <v>0.14573416203760797</v>
      </c>
      <c r="J867">
        <f t="shared" si="14"/>
        <v>0</v>
      </c>
    </row>
    <row r="868" spans="7:10" ht="19.95" customHeight="1" x14ac:dyDescent="0.3">
      <c r="G868">
        <v>866</v>
      </c>
      <c r="H868" s="3">
        <v>0.19730401460972047</v>
      </c>
      <c r="I868" s="3">
        <v>0.19700770076989266</v>
      </c>
      <c r="J868">
        <f t="shared" si="14"/>
        <v>1</v>
      </c>
    </row>
    <row r="869" spans="7:10" ht="19.95" customHeight="1" x14ac:dyDescent="0.3">
      <c r="G869">
        <v>867</v>
      </c>
      <c r="H869" s="3">
        <v>-1.1562325040675978E-2</v>
      </c>
      <c r="I869" s="3">
        <v>-5.3085643641193787E-2</v>
      </c>
      <c r="J869">
        <f t="shared" si="14"/>
        <v>1</v>
      </c>
    </row>
    <row r="870" spans="7:10" ht="19.95" customHeight="1" x14ac:dyDescent="0.3">
      <c r="G870">
        <v>868</v>
      </c>
      <c r="H870" s="3">
        <v>-6.4657487701241051E-2</v>
      </c>
      <c r="I870" s="3">
        <v>5.2422494386241941E-2</v>
      </c>
      <c r="J870">
        <f t="shared" si="14"/>
        <v>0</v>
      </c>
    </row>
    <row r="871" spans="7:10" ht="19.95" customHeight="1" x14ac:dyDescent="0.3">
      <c r="G871">
        <v>869</v>
      </c>
      <c r="H871" s="3">
        <v>8.2612682953628502E-2</v>
      </c>
      <c r="I871" s="3">
        <v>-4.5513214873349479E-2</v>
      </c>
      <c r="J871">
        <f t="shared" si="14"/>
        <v>1</v>
      </c>
    </row>
    <row r="872" spans="7:10" ht="19.95" customHeight="1" x14ac:dyDescent="0.3">
      <c r="G872">
        <v>870</v>
      </c>
      <c r="H872" s="3">
        <v>0.16514712343494822</v>
      </c>
      <c r="I872" s="3">
        <v>0.19074754887182696</v>
      </c>
      <c r="J872">
        <f t="shared" si="14"/>
        <v>0</v>
      </c>
    </row>
    <row r="873" spans="7:10" ht="19.95" customHeight="1" x14ac:dyDescent="0.3">
      <c r="G873">
        <v>871</v>
      </c>
      <c r="H873" s="3">
        <v>0.13238056904871984</v>
      </c>
      <c r="I873" s="3">
        <v>0.19391334847697558</v>
      </c>
      <c r="J873">
        <f t="shared" si="14"/>
        <v>0</v>
      </c>
    </row>
    <row r="874" spans="7:10" ht="19.95" customHeight="1" x14ac:dyDescent="0.3">
      <c r="G874">
        <v>872</v>
      </c>
      <c r="H874" s="3">
        <v>-4.2847878303913289E-2</v>
      </c>
      <c r="I874" s="3">
        <v>-6.2855240755769912E-2</v>
      </c>
      <c r="J874">
        <f t="shared" si="14"/>
        <v>1</v>
      </c>
    </row>
    <row r="875" spans="7:10" ht="19.95" customHeight="1" x14ac:dyDescent="0.3">
      <c r="G875">
        <v>873</v>
      </c>
      <c r="H875" s="3">
        <v>1.6770698421405043E-2</v>
      </c>
      <c r="I875" s="3">
        <v>7.7709338723321558E-2</v>
      </c>
      <c r="J875">
        <f t="shared" si="14"/>
        <v>0</v>
      </c>
    </row>
    <row r="876" spans="7:10" ht="19.95" customHeight="1" x14ac:dyDescent="0.3">
      <c r="G876">
        <v>874</v>
      </c>
      <c r="H876" s="3">
        <v>1.2329905330405112E-2</v>
      </c>
      <c r="I876" s="3">
        <v>-2.8667171457332184E-2</v>
      </c>
      <c r="J876">
        <f t="shared" si="14"/>
        <v>1</v>
      </c>
    </row>
    <row r="877" spans="7:10" ht="19.95" customHeight="1" x14ac:dyDescent="0.3">
      <c r="G877">
        <v>875</v>
      </c>
      <c r="H877" s="3">
        <v>-7.3467150047794947E-3</v>
      </c>
      <c r="I877" s="3">
        <v>-1.8387512772185484E-2</v>
      </c>
      <c r="J877">
        <f t="shared" si="14"/>
        <v>1</v>
      </c>
    </row>
    <row r="878" spans="7:10" ht="19.95" customHeight="1" x14ac:dyDescent="0.3">
      <c r="G878">
        <v>876</v>
      </c>
      <c r="H878" s="3">
        <v>0.10105214078201744</v>
      </c>
      <c r="I878" s="3">
        <v>-2.8127495496995558E-2</v>
      </c>
      <c r="J878">
        <f t="shared" si="14"/>
        <v>1</v>
      </c>
    </row>
    <row r="879" spans="7:10" ht="19.95" customHeight="1" x14ac:dyDescent="0.3">
      <c r="G879">
        <v>877</v>
      </c>
      <c r="H879" s="3">
        <v>6.6780053757915939E-3</v>
      </c>
      <c r="I879" s="3">
        <v>1.2494823603768673E-2</v>
      </c>
      <c r="J879">
        <f t="shared" si="14"/>
        <v>0</v>
      </c>
    </row>
    <row r="880" spans="7:10" ht="19.95" customHeight="1" x14ac:dyDescent="0.3">
      <c r="G880">
        <v>878</v>
      </c>
      <c r="H880" s="3">
        <v>0.33134901133317052</v>
      </c>
      <c r="I880" s="3">
        <v>0.26852582140893494</v>
      </c>
      <c r="J880">
        <f t="shared" si="14"/>
        <v>1</v>
      </c>
    </row>
    <row r="881" spans="7:10" ht="19.95" customHeight="1" x14ac:dyDescent="0.3">
      <c r="G881">
        <v>879</v>
      </c>
      <c r="H881" s="3">
        <v>5.2007611260483338E-2</v>
      </c>
      <c r="I881" s="3">
        <v>-4.0616091770951844E-2</v>
      </c>
      <c r="J881">
        <f t="shared" si="14"/>
        <v>1</v>
      </c>
    </row>
    <row r="882" spans="7:10" ht="19.95" customHeight="1" x14ac:dyDescent="0.3">
      <c r="G882">
        <v>880</v>
      </c>
      <c r="H882" s="3">
        <v>0.19788089755558863</v>
      </c>
      <c r="I882" s="3">
        <v>0.12061087861098155</v>
      </c>
      <c r="J882">
        <f t="shared" si="14"/>
        <v>1</v>
      </c>
    </row>
    <row r="883" spans="7:10" ht="19.95" customHeight="1" x14ac:dyDescent="0.3">
      <c r="G883">
        <v>881</v>
      </c>
      <c r="H883" s="3">
        <v>1.0629447833764738E-2</v>
      </c>
      <c r="I883" s="3">
        <v>-2.4008790708455283E-2</v>
      </c>
      <c r="J883">
        <f t="shared" si="14"/>
        <v>1</v>
      </c>
    </row>
    <row r="884" spans="7:10" ht="19.95" customHeight="1" x14ac:dyDescent="0.3">
      <c r="G884">
        <v>882</v>
      </c>
      <c r="H884" s="3">
        <v>-6.3211375139751322E-2</v>
      </c>
      <c r="I884" s="3">
        <v>-3.4221168871563679E-2</v>
      </c>
      <c r="J884">
        <f t="shared" si="14"/>
        <v>0</v>
      </c>
    </row>
    <row r="885" spans="7:10" ht="19.95" customHeight="1" x14ac:dyDescent="0.3">
      <c r="G885">
        <v>883</v>
      </c>
      <c r="H885" s="3">
        <v>-5.1394933311101107E-2</v>
      </c>
      <c r="I885" s="3">
        <v>6.0472303695812288E-2</v>
      </c>
      <c r="J885">
        <f t="shared" si="14"/>
        <v>0</v>
      </c>
    </row>
    <row r="886" spans="7:10" ht="19.95" customHeight="1" x14ac:dyDescent="0.3">
      <c r="G886">
        <v>884</v>
      </c>
      <c r="H886" s="3">
        <v>5.5176376549681709E-2</v>
      </c>
      <c r="I886" s="3">
        <v>4.1872400953951901E-2</v>
      </c>
      <c r="J886">
        <f t="shared" si="14"/>
        <v>1</v>
      </c>
    </row>
    <row r="887" spans="7:10" ht="19.95" customHeight="1" x14ac:dyDescent="0.3">
      <c r="G887">
        <v>885</v>
      </c>
      <c r="H887" s="3">
        <v>0.11160258882585014</v>
      </c>
      <c r="I887" s="3">
        <v>8.1076214071588187E-2</v>
      </c>
      <c r="J887">
        <f t="shared" si="14"/>
        <v>1</v>
      </c>
    </row>
    <row r="888" spans="7:10" ht="19.95" customHeight="1" x14ac:dyDescent="0.3">
      <c r="G888">
        <v>886</v>
      </c>
      <c r="H888" s="3">
        <v>3.1497514363269273E-2</v>
      </c>
      <c r="I888" s="3">
        <v>4.0044980594300471E-2</v>
      </c>
      <c r="J888">
        <f t="shared" si="14"/>
        <v>0</v>
      </c>
    </row>
    <row r="889" spans="7:10" ht="19.95" customHeight="1" x14ac:dyDescent="0.3">
      <c r="G889">
        <v>887</v>
      </c>
      <c r="H889" s="3">
        <v>1.4928585026631469E-2</v>
      </c>
      <c r="I889" s="3">
        <v>2.0225469697594461E-2</v>
      </c>
      <c r="J889">
        <f t="shared" si="14"/>
        <v>0</v>
      </c>
    </row>
    <row r="890" spans="7:10" ht="19.95" customHeight="1" x14ac:dyDescent="0.3">
      <c r="G890">
        <v>888</v>
      </c>
      <c r="H890" s="3">
        <v>-0.16669909071779185</v>
      </c>
      <c r="I890" s="3">
        <v>-0.21443696247458063</v>
      </c>
      <c r="J890">
        <f t="shared" si="14"/>
        <v>1</v>
      </c>
    </row>
    <row r="891" spans="7:10" ht="19.95" customHeight="1" x14ac:dyDescent="0.3">
      <c r="G891">
        <v>889</v>
      </c>
      <c r="H891" s="3">
        <v>-6.3218115478498677E-2</v>
      </c>
      <c r="I891" s="3">
        <v>-9.3966503263814866E-2</v>
      </c>
      <c r="J891">
        <f t="shared" si="14"/>
        <v>1</v>
      </c>
    </row>
    <row r="892" spans="7:10" ht="19.95" customHeight="1" x14ac:dyDescent="0.3">
      <c r="G892">
        <v>890</v>
      </c>
      <c r="H892" s="3">
        <v>6.3982220272021079E-2</v>
      </c>
      <c r="I892" s="3">
        <v>9.0507195358195222E-2</v>
      </c>
      <c r="J892">
        <f t="shared" si="14"/>
        <v>0</v>
      </c>
    </row>
    <row r="893" spans="7:10" ht="19.95" customHeight="1" x14ac:dyDescent="0.3">
      <c r="G893">
        <v>891</v>
      </c>
      <c r="H893" s="3">
        <v>-7.9151138964361475E-2</v>
      </c>
      <c r="I893" s="3">
        <v>-6.6282535773681317E-2</v>
      </c>
      <c r="J893">
        <f t="shared" si="14"/>
        <v>0</v>
      </c>
    </row>
    <row r="894" spans="7:10" ht="19.95" customHeight="1" x14ac:dyDescent="0.3">
      <c r="G894">
        <v>892</v>
      </c>
      <c r="H894" s="3">
        <v>0.22340033194880249</v>
      </c>
      <c r="I894" s="3">
        <v>0.28015368715645866</v>
      </c>
      <c r="J894">
        <f t="shared" si="14"/>
        <v>0</v>
      </c>
    </row>
    <row r="895" spans="7:10" ht="19.95" customHeight="1" x14ac:dyDescent="0.3">
      <c r="G895">
        <v>893</v>
      </c>
      <c r="H895" s="3">
        <v>8.2378256853322313E-2</v>
      </c>
      <c r="I895" s="3">
        <v>3.8353972456006559E-2</v>
      </c>
      <c r="J895">
        <f t="shared" si="14"/>
        <v>1</v>
      </c>
    </row>
    <row r="896" spans="7:10" ht="19.95" customHeight="1" x14ac:dyDescent="0.3">
      <c r="G896">
        <v>894</v>
      </c>
      <c r="H896" s="3">
        <v>4.457617109605818E-2</v>
      </c>
      <c r="I896" s="3">
        <v>0.12711037366478709</v>
      </c>
      <c r="J896">
        <f t="shared" si="14"/>
        <v>0</v>
      </c>
    </row>
    <row r="897" spans="7:10" ht="19.95" customHeight="1" x14ac:dyDescent="0.3">
      <c r="G897">
        <v>895</v>
      </c>
      <c r="H897" s="3">
        <v>9.9731001243804643E-2</v>
      </c>
      <c r="I897" s="3">
        <v>3.6642814216435199E-2</v>
      </c>
      <c r="J897">
        <f t="shared" si="14"/>
        <v>1</v>
      </c>
    </row>
    <row r="898" spans="7:10" ht="19.95" customHeight="1" x14ac:dyDescent="0.3">
      <c r="G898">
        <v>896</v>
      </c>
      <c r="H898" s="3">
        <v>-2.2423305909862367E-2</v>
      </c>
      <c r="I898" s="3">
        <v>3.3119336610945259E-2</v>
      </c>
      <c r="J898">
        <f t="shared" si="14"/>
        <v>0</v>
      </c>
    </row>
    <row r="899" spans="7:10" ht="19.95" customHeight="1" x14ac:dyDescent="0.3">
      <c r="G899">
        <v>897</v>
      </c>
      <c r="H899" s="3">
        <v>0.17280042724024536</v>
      </c>
      <c r="I899" s="3">
        <v>5.756573754714378E-2</v>
      </c>
      <c r="J899">
        <f t="shared" si="14"/>
        <v>1</v>
      </c>
    </row>
    <row r="900" spans="7:10" ht="19.95" customHeight="1" x14ac:dyDescent="0.3">
      <c r="G900">
        <v>898</v>
      </c>
      <c r="H900" s="3">
        <v>3.6653366381973002E-2</v>
      </c>
      <c r="I900" s="3">
        <v>0.23433315683010902</v>
      </c>
      <c r="J900">
        <f t="shared" ref="J900:J963" si="15">IF(H900&gt;I900,1,0)</f>
        <v>0</v>
      </c>
    </row>
    <row r="901" spans="7:10" ht="19.95" customHeight="1" x14ac:dyDescent="0.3">
      <c r="G901">
        <v>899</v>
      </c>
      <c r="H901" s="3">
        <v>-8.1956654878992067E-3</v>
      </c>
      <c r="I901" s="3">
        <v>4.5394069083222438E-2</v>
      </c>
      <c r="J901">
        <f t="shared" si="15"/>
        <v>0</v>
      </c>
    </row>
    <row r="902" spans="7:10" ht="19.95" customHeight="1" x14ac:dyDescent="0.3">
      <c r="G902">
        <v>900</v>
      </c>
      <c r="H902" s="3">
        <v>-0.14369847189292895</v>
      </c>
      <c r="I902" s="3">
        <v>-0.12887697267316625</v>
      </c>
      <c r="J902">
        <f t="shared" si="15"/>
        <v>0</v>
      </c>
    </row>
    <row r="903" spans="7:10" ht="19.95" customHeight="1" x14ac:dyDescent="0.3">
      <c r="G903">
        <v>901</v>
      </c>
      <c r="H903" s="3">
        <v>-2.4508610527814952E-2</v>
      </c>
      <c r="I903" s="3">
        <v>-1.1047984978804349E-2</v>
      </c>
      <c r="J903">
        <f t="shared" si="15"/>
        <v>0</v>
      </c>
    </row>
    <row r="904" spans="7:10" ht="19.95" customHeight="1" x14ac:dyDescent="0.3">
      <c r="G904">
        <v>902</v>
      </c>
      <c r="H904" s="3">
        <v>-3.4047024342296478E-3</v>
      </c>
      <c r="I904" s="3">
        <v>-0.13996152628062739</v>
      </c>
      <c r="J904">
        <f t="shared" si="15"/>
        <v>1</v>
      </c>
    </row>
    <row r="905" spans="7:10" ht="19.95" customHeight="1" x14ac:dyDescent="0.3">
      <c r="G905">
        <v>903</v>
      </c>
      <c r="H905" s="3">
        <v>-1.4280900836670352E-2</v>
      </c>
      <c r="I905" s="3">
        <v>3.2623865141040022E-2</v>
      </c>
      <c r="J905">
        <f t="shared" si="15"/>
        <v>0</v>
      </c>
    </row>
    <row r="906" spans="7:10" ht="19.95" customHeight="1" x14ac:dyDescent="0.3">
      <c r="G906">
        <v>904</v>
      </c>
      <c r="H906" s="3">
        <v>-2.7238759218132211E-2</v>
      </c>
      <c r="I906" s="3">
        <v>-9.6612820246091247E-2</v>
      </c>
      <c r="J906">
        <f t="shared" si="15"/>
        <v>1</v>
      </c>
    </row>
    <row r="907" spans="7:10" ht="19.95" customHeight="1" x14ac:dyDescent="0.3">
      <c r="G907">
        <v>905</v>
      </c>
      <c r="H907" s="3">
        <v>9.1289882161698421E-2</v>
      </c>
      <c r="I907" s="3">
        <v>-9.4645223953713034E-4</v>
      </c>
      <c r="J907">
        <f t="shared" si="15"/>
        <v>1</v>
      </c>
    </row>
    <row r="908" spans="7:10" ht="19.95" customHeight="1" x14ac:dyDescent="0.3">
      <c r="G908">
        <v>906</v>
      </c>
      <c r="H908" s="3">
        <v>8.3237950235793695E-2</v>
      </c>
      <c r="I908" s="3">
        <v>8.7270589522146183E-2</v>
      </c>
      <c r="J908">
        <f t="shared" si="15"/>
        <v>0</v>
      </c>
    </row>
    <row r="909" spans="7:10" ht="19.95" customHeight="1" x14ac:dyDescent="0.3">
      <c r="G909">
        <v>907</v>
      </c>
      <c r="H909" s="3">
        <v>4.6030831987364636E-2</v>
      </c>
      <c r="I909" s="3">
        <v>0.10058039550579817</v>
      </c>
      <c r="J909">
        <f t="shared" si="15"/>
        <v>0</v>
      </c>
    </row>
    <row r="910" spans="7:10" ht="19.95" customHeight="1" x14ac:dyDescent="0.3">
      <c r="G910">
        <v>908</v>
      </c>
      <c r="H910" s="3">
        <v>0.12898380063951723</v>
      </c>
      <c r="I910" s="3">
        <v>5.0838375992038207E-2</v>
      </c>
      <c r="J910">
        <f t="shared" si="15"/>
        <v>1</v>
      </c>
    </row>
    <row r="911" spans="7:10" ht="19.95" customHeight="1" x14ac:dyDescent="0.3">
      <c r="G911">
        <v>909</v>
      </c>
      <c r="H911" s="3">
        <v>0.17961627211652631</v>
      </c>
      <c r="I911" s="3">
        <v>0.2187600203872313</v>
      </c>
      <c r="J911">
        <f t="shared" si="15"/>
        <v>0</v>
      </c>
    </row>
    <row r="912" spans="7:10" ht="19.95" customHeight="1" x14ac:dyDescent="0.3">
      <c r="G912">
        <v>910</v>
      </c>
      <c r="H912" s="3">
        <v>-6.5128928652950474E-2</v>
      </c>
      <c r="I912" s="3">
        <v>2.3232393120580386E-2</v>
      </c>
      <c r="J912">
        <f t="shared" si="15"/>
        <v>0</v>
      </c>
    </row>
    <row r="913" spans="7:10" ht="19.95" customHeight="1" x14ac:dyDescent="0.3">
      <c r="G913">
        <v>911</v>
      </c>
      <c r="H913" s="3">
        <v>-9.3406938766640427E-2</v>
      </c>
      <c r="I913" s="3">
        <v>-0.11362786457747774</v>
      </c>
      <c r="J913">
        <f t="shared" si="15"/>
        <v>1</v>
      </c>
    </row>
    <row r="914" spans="7:10" ht="19.95" customHeight="1" x14ac:dyDescent="0.3">
      <c r="G914">
        <v>912</v>
      </c>
      <c r="H914" s="3">
        <v>-5.1523724054265432E-2</v>
      </c>
      <c r="I914" s="3">
        <v>7.7702577855618363E-2</v>
      </c>
      <c r="J914">
        <f t="shared" si="15"/>
        <v>0</v>
      </c>
    </row>
    <row r="915" spans="7:10" ht="19.95" customHeight="1" x14ac:dyDescent="0.3">
      <c r="G915">
        <v>913</v>
      </c>
      <c r="H915" s="3">
        <v>0.24030470058455763</v>
      </c>
      <c r="I915" s="3">
        <v>0.27864579516366789</v>
      </c>
      <c r="J915">
        <f t="shared" si="15"/>
        <v>0</v>
      </c>
    </row>
    <row r="916" spans="7:10" ht="19.95" customHeight="1" x14ac:dyDescent="0.3">
      <c r="G916">
        <v>914</v>
      </c>
      <c r="H916" s="3">
        <v>0.127028119008291</v>
      </c>
      <c r="I916" s="3">
        <v>0.20413549241580353</v>
      </c>
      <c r="J916">
        <f t="shared" si="15"/>
        <v>0</v>
      </c>
    </row>
    <row r="917" spans="7:10" ht="19.95" customHeight="1" x14ac:dyDescent="0.3">
      <c r="G917">
        <v>915</v>
      </c>
      <c r="H917" s="3">
        <v>9.8400877960516331E-2</v>
      </c>
      <c r="I917" s="3">
        <v>8.2700010007192876E-2</v>
      </c>
      <c r="J917">
        <f t="shared" si="15"/>
        <v>1</v>
      </c>
    </row>
    <row r="918" spans="7:10" ht="19.95" customHeight="1" x14ac:dyDescent="0.3">
      <c r="G918">
        <v>916</v>
      </c>
      <c r="H918" s="3">
        <v>-0.11563657885976386</v>
      </c>
      <c r="I918" s="3">
        <v>-0.19639030957967057</v>
      </c>
      <c r="J918">
        <f t="shared" si="15"/>
        <v>1</v>
      </c>
    </row>
    <row r="919" spans="7:10" ht="19.95" customHeight="1" x14ac:dyDescent="0.3">
      <c r="G919">
        <v>917</v>
      </c>
      <c r="H919" s="3">
        <v>-0.15551882447076848</v>
      </c>
      <c r="I919" s="3">
        <v>-0.22007309316767051</v>
      </c>
      <c r="J919">
        <f t="shared" si="15"/>
        <v>1</v>
      </c>
    </row>
    <row r="920" spans="7:10" ht="19.95" customHeight="1" x14ac:dyDescent="0.3">
      <c r="G920">
        <v>918</v>
      </c>
      <c r="H920" s="3">
        <v>8.7788195073333066E-4</v>
      </c>
      <c r="I920" s="3">
        <v>-3.2289472724723892E-2</v>
      </c>
      <c r="J920">
        <f t="shared" si="15"/>
        <v>1</v>
      </c>
    </row>
    <row r="921" spans="7:10" ht="19.95" customHeight="1" x14ac:dyDescent="0.3">
      <c r="G921">
        <v>919</v>
      </c>
      <c r="H921" s="3">
        <v>9.6417613135991204E-2</v>
      </c>
      <c r="I921" s="3">
        <v>0.11091681599254666</v>
      </c>
      <c r="J921">
        <f t="shared" si="15"/>
        <v>0</v>
      </c>
    </row>
    <row r="922" spans="7:10" ht="19.95" customHeight="1" x14ac:dyDescent="0.3">
      <c r="G922">
        <v>920</v>
      </c>
      <c r="H922" s="3">
        <v>-5.8143593438363034E-2</v>
      </c>
      <c r="I922" s="3">
        <v>5.0684059576024533E-4</v>
      </c>
      <c r="J922">
        <f t="shared" si="15"/>
        <v>0</v>
      </c>
    </row>
    <row r="923" spans="7:10" ht="19.95" customHeight="1" x14ac:dyDescent="0.3">
      <c r="G923">
        <v>921</v>
      </c>
      <c r="H923" s="3">
        <v>-2.3969290076352713E-2</v>
      </c>
      <c r="I923" s="3">
        <v>-6.6321610714559151E-2</v>
      </c>
      <c r="J923">
        <f t="shared" si="15"/>
        <v>1</v>
      </c>
    </row>
    <row r="924" spans="7:10" ht="19.95" customHeight="1" x14ac:dyDescent="0.3">
      <c r="G924">
        <v>922</v>
      </c>
      <c r="H924" s="3">
        <v>0.14344674741006921</v>
      </c>
      <c r="I924" s="3">
        <v>0.10571041192884786</v>
      </c>
      <c r="J924">
        <f t="shared" si="15"/>
        <v>1</v>
      </c>
    </row>
    <row r="925" spans="7:10" ht="19.95" customHeight="1" x14ac:dyDescent="0.3">
      <c r="G925">
        <v>923</v>
      </c>
      <c r="H925" s="3">
        <v>0.13398596929298362</v>
      </c>
      <c r="I925" s="3">
        <v>0.21766598490272127</v>
      </c>
      <c r="J925">
        <f t="shared" si="15"/>
        <v>0</v>
      </c>
    </row>
    <row r="926" spans="7:10" ht="19.95" customHeight="1" x14ac:dyDescent="0.3">
      <c r="G926">
        <v>924</v>
      </c>
      <c r="H926" s="3">
        <v>7.0518429332030244E-2</v>
      </c>
      <c r="I926" s="3">
        <v>1.8753417917454406E-2</v>
      </c>
      <c r="J926">
        <f t="shared" si="15"/>
        <v>1</v>
      </c>
    </row>
    <row r="927" spans="7:10" ht="19.95" customHeight="1" x14ac:dyDescent="0.3">
      <c r="G927">
        <v>925</v>
      </c>
      <c r="H927" s="3">
        <v>7.4407202642623165E-3</v>
      </c>
      <c r="I927" s="3">
        <v>2.8120356894425252E-2</v>
      </c>
      <c r="J927">
        <f t="shared" si="15"/>
        <v>0</v>
      </c>
    </row>
    <row r="928" spans="7:10" ht="19.95" customHeight="1" x14ac:dyDescent="0.3">
      <c r="G928">
        <v>926</v>
      </c>
      <c r="H928" s="3">
        <v>-8.695981900279838E-2</v>
      </c>
      <c r="I928" s="3">
        <v>-4.8020392866294677E-2</v>
      </c>
      <c r="J928">
        <f t="shared" si="15"/>
        <v>0</v>
      </c>
    </row>
    <row r="929" spans="7:10" ht="19.95" customHeight="1" x14ac:dyDescent="0.3">
      <c r="G929">
        <v>927</v>
      </c>
      <c r="H929" s="3">
        <v>8.2067596730957301E-2</v>
      </c>
      <c r="I929" s="3">
        <v>8.5530009153431105E-2</v>
      </c>
      <c r="J929">
        <f t="shared" si="15"/>
        <v>0</v>
      </c>
    </row>
    <row r="930" spans="7:10" ht="19.95" customHeight="1" x14ac:dyDescent="0.3">
      <c r="G930">
        <v>928</v>
      </c>
      <c r="H930" s="3">
        <v>0.24303126754395829</v>
      </c>
      <c r="I930" s="3">
        <v>0.17993270433439609</v>
      </c>
      <c r="J930">
        <f t="shared" si="15"/>
        <v>1</v>
      </c>
    </row>
    <row r="931" spans="7:10" ht="19.95" customHeight="1" x14ac:dyDescent="0.3">
      <c r="G931">
        <v>929</v>
      </c>
      <c r="H931" s="3">
        <v>9.6038212040264845E-2</v>
      </c>
      <c r="I931" s="3">
        <v>5.8818219580701783E-2</v>
      </c>
      <c r="J931">
        <f t="shared" si="15"/>
        <v>1</v>
      </c>
    </row>
    <row r="932" spans="7:10" ht="19.95" customHeight="1" x14ac:dyDescent="0.3">
      <c r="G932">
        <v>930</v>
      </c>
      <c r="H932" s="3">
        <v>-4.5235039982433695E-2</v>
      </c>
      <c r="I932" s="3">
        <v>-5.7882598030482887E-2</v>
      </c>
      <c r="J932">
        <f t="shared" si="15"/>
        <v>1</v>
      </c>
    </row>
    <row r="933" spans="7:10" ht="19.95" customHeight="1" x14ac:dyDescent="0.3">
      <c r="G933">
        <v>931</v>
      </c>
      <c r="H933" s="3">
        <v>0.20614454217626191</v>
      </c>
      <c r="I933" s="3">
        <v>0.28540549183475811</v>
      </c>
      <c r="J933">
        <f t="shared" si="15"/>
        <v>0</v>
      </c>
    </row>
    <row r="934" spans="7:10" ht="19.95" customHeight="1" x14ac:dyDescent="0.3">
      <c r="G934">
        <v>932</v>
      </c>
      <c r="H934" s="3">
        <v>-2.9758212401540619E-2</v>
      </c>
      <c r="I934" s="3">
        <v>-1.2513082518932362E-2</v>
      </c>
      <c r="J934">
        <f t="shared" si="15"/>
        <v>0</v>
      </c>
    </row>
    <row r="935" spans="7:10" ht="19.95" customHeight="1" x14ac:dyDescent="0.3">
      <c r="G935">
        <v>933</v>
      </c>
      <c r="H935" s="3">
        <v>0.23228792008937665</v>
      </c>
      <c r="I935" s="3">
        <v>0.17293082774877855</v>
      </c>
      <c r="J935">
        <f t="shared" si="15"/>
        <v>1</v>
      </c>
    </row>
    <row r="936" spans="7:10" ht="19.95" customHeight="1" x14ac:dyDescent="0.3">
      <c r="G936">
        <v>934</v>
      </c>
      <c r="H936" s="3">
        <v>2.6936751274472419E-2</v>
      </c>
      <c r="I936" s="3">
        <v>-7.9437929994319756E-2</v>
      </c>
      <c r="J936">
        <f t="shared" si="15"/>
        <v>1</v>
      </c>
    </row>
    <row r="937" spans="7:10" ht="19.95" customHeight="1" x14ac:dyDescent="0.3">
      <c r="G937">
        <v>935</v>
      </c>
      <c r="H937" s="3">
        <v>0.15739358081552168</v>
      </c>
      <c r="I937" s="3">
        <v>0.15833205434156516</v>
      </c>
      <c r="J937">
        <f t="shared" si="15"/>
        <v>0</v>
      </c>
    </row>
    <row r="938" spans="7:10" ht="19.95" customHeight="1" x14ac:dyDescent="0.3">
      <c r="G938">
        <v>936</v>
      </c>
      <c r="H938" s="3">
        <v>4.1352858447382887E-2</v>
      </c>
      <c r="I938" s="3">
        <v>-4.1176038834746138E-2</v>
      </c>
      <c r="J938">
        <f t="shared" si="15"/>
        <v>1</v>
      </c>
    </row>
    <row r="939" spans="7:10" ht="19.95" customHeight="1" x14ac:dyDescent="0.3">
      <c r="G939">
        <v>937</v>
      </c>
      <c r="H939" s="3">
        <v>-0.21946862443462381</v>
      </c>
      <c r="I939" s="3">
        <v>-0.17665306632412572</v>
      </c>
      <c r="J939">
        <f t="shared" si="15"/>
        <v>0</v>
      </c>
    </row>
    <row r="940" spans="7:10" ht="19.95" customHeight="1" x14ac:dyDescent="0.3">
      <c r="G940">
        <v>938</v>
      </c>
      <c r="H940" s="3">
        <v>9.2021301068722916E-3</v>
      </c>
      <c r="I940" s="3">
        <v>2.3192289006428108E-3</v>
      </c>
      <c r="J940">
        <f t="shared" si="15"/>
        <v>1</v>
      </c>
    </row>
    <row r="941" spans="7:10" ht="19.95" customHeight="1" x14ac:dyDescent="0.3">
      <c r="G941">
        <v>939</v>
      </c>
      <c r="H941" s="3">
        <v>8.7514605780939947E-2</v>
      </c>
      <c r="I941" s="3">
        <v>4.3909177303643569E-2</v>
      </c>
      <c r="J941">
        <f t="shared" si="15"/>
        <v>1</v>
      </c>
    </row>
    <row r="942" spans="7:10" ht="19.95" customHeight="1" x14ac:dyDescent="0.3">
      <c r="G942">
        <v>940</v>
      </c>
      <c r="H942" s="3">
        <v>5.1872884445478232E-2</v>
      </c>
      <c r="I942" s="3">
        <v>1.5313462561380511E-2</v>
      </c>
      <c r="J942">
        <f t="shared" si="15"/>
        <v>1</v>
      </c>
    </row>
    <row r="943" spans="7:10" ht="19.95" customHeight="1" x14ac:dyDescent="0.3">
      <c r="G943">
        <v>941</v>
      </c>
      <c r="H943" s="3">
        <v>6.8058562110091925E-2</v>
      </c>
      <c r="I943" s="3">
        <v>8.1517601973317533E-2</v>
      </c>
      <c r="J943">
        <f t="shared" si="15"/>
        <v>0</v>
      </c>
    </row>
    <row r="944" spans="7:10" ht="19.95" customHeight="1" x14ac:dyDescent="0.3">
      <c r="G944">
        <v>942</v>
      </c>
      <c r="H944" s="3">
        <v>0.15968278570015887</v>
      </c>
      <c r="I944" s="3">
        <v>0.19512490129692187</v>
      </c>
      <c r="J944">
        <f t="shared" si="15"/>
        <v>0</v>
      </c>
    </row>
    <row r="945" spans="7:10" ht="19.95" customHeight="1" x14ac:dyDescent="0.3">
      <c r="G945">
        <v>943</v>
      </c>
      <c r="H945" s="3">
        <v>-2.1407942780484336E-2</v>
      </c>
      <c r="I945" s="3">
        <v>-7.9967164438685928E-2</v>
      </c>
      <c r="J945">
        <f t="shared" si="15"/>
        <v>1</v>
      </c>
    </row>
    <row r="946" spans="7:10" ht="19.95" customHeight="1" x14ac:dyDescent="0.3">
      <c r="G946">
        <v>944</v>
      </c>
      <c r="H946" s="3">
        <v>-6.0870566485118132E-3</v>
      </c>
      <c r="I946" s="3">
        <v>0.10488444857402239</v>
      </c>
      <c r="J946">
        <f t="shared" si="15"/>
        <v>0</v>
      </c>
    </row>
    <row r="947" spans="7:10" ht="19.95" customHeight="1" x14ac:dyDescent="0.3">
      <c r="G947">
        <v>945</v>
      </c>
      <c r="H947" s="3">
        <v>0.22385603922694833</v>
      </c>
      <c r="I947" s="3">
        <v>0.29551618118573647</v>
      </c>
      <c r="J947">
        <f t="shared" si="15"/>
        <v>0</v>
      </c>
    </row>
    <row r="948" spans="7:10" ht="19.95" customHeight="1" x14ac:dyDescent="0.3">
      <c r="G948">
        <v>946</v>
      </c>
      <c r="H948" s="3">
        <v>0.10669187765466569</v>
      </c>
      <c r="I948" s="3">
        <v>0.10803844382282426</v>
      </c>
      <c r="J948">
        <f t="shared" si="15"/>
        <v>0</v>
      </c>
    </row>
    <row r="949" spans="7:10" ht="19.95" customHeight="1" x14ac:dyDescent="0.3">
      <c r="G949">
        <v>947</v>
      </c>
      <c r="H949" s="3">
        <v>0.10027284712227133</v>
      </c>
      <c r="I949" s="3">
        <v>0.10279432421446723</v>
      </c>
      <c r="J949">
        <f t="shared" si="15"/>
        <v>0</v>
      </c>
    </row>
    <row r="950" spans="7:10" ht="19.95" customHeight="1" x14ac:dyDescent="0.3">
      <c r="G950">
        <v>948</v>
      </c>
      <c r="H950" s="3">
        <v>0.10806742915046379</v>
      </c>
      <c r="I950" s="3">
        <v>7.6880082195196431E-2</v>
      </c>
      <c r="J950">
        <f t="shared" si="15"/>
        <v>1</v>
      </c>
    </row>
    <row r="951" spans="7:10" ht="19.95" customHeight="1" x14ac:dyDescent="0.3">
      <c r="G951">
        <v>949</v>
      </c>
      <c r="H951" s="3">
        <v>8.8613445621358571E-3</v>
      </c>
      <c r="I951" s="3">
        <v>6.8338950315104438E-2</v>
      </c>
      <c r="J951">
        <f t="shared" si="15"/>
        <v>0</v>
      </c>
    </row>
    <row r="952" spans="7:10" ht="19.95" customHeight="1" x14ac:dyDescent="0.3">
      <c r="G952">
        <v>950</v>
      </c>
      <c r="H952" s="3">
        <v>0.15270543822219146</v>
      </c>
      <c r="I952" s="3">
        <v>0.19054885582284675</v>
      </c>
      <c r="J952">
        <f t="shared" si="15"/>
        <v>0</v>
      </c>
    </row>
    <row r="953" spans="7:10" ht="19.95" customHeight="1" x14ac:dyDescent="0.3">
      <c r="G953">
        <v>951</v>
      </c>
      <c r="H953" s="3">
        <v>-8.2332176100149035E-2</v>
      </c>
      <c r="I953" s="3">
        <v>-3.325193436877448E-2</v>
      </c>
      <c r="J953">
        <f t="shared" si="15"/>
        <v>0</v>
      </c>
    </row>
    <row r="954" spans="7:10" ht="19.95" customHeight="1" x14ac:dyDescent="0.3">
      <c r="G954">
        <v>952</v>
      </c>
      <c r="H954" s="3">
        <v>3.1238354326005913E-2</v>
      </c>
      <c r="I954" s="3">
        <v>5.523653814467052E-2</v>
      </c>
      <c r="J954">
        <f t="shared" si="15"/>
        <v>0</v>
      </c>
    </row>
    <row r="955" spans="7:10" ht="19.95" customHeight="1" x14ac:dyDescent="0.3">
      <c r="G955">
        <v>953</v>
      </c>
      <c r="H955" s="3">
        <v>8.2156308438069814E-2</v>
      </c>
      <c r="I955" s="3">
        <v>0.21288938491456444</v>
      </c>
      <c r="J955">
        <f t="shared" si="15"/>
        <v>0</v>
      </c>
    </row>
    <row r="956" spans="7:10" ht="19.95" customHeight="1" x14ac:dyDescent="0.3">
      <c r="G956">
        <v>954</v>
      </c>
      <c r="H956" s="3">
        <v>0.11865057580565548</v>
      </c>
      <c r="I956" s="3">
        <v>8.4230628565846094E-2</v>
      </c>
      <c r="J956">
        <f t="shared" si="15"/>
        <v>1</v>
      </c>
    </row>
    <row r="957" spans="7:10" ht="19.95" customHeight="1" x14ac:dyDescent="0.3">
      <c r="G957">
        <v>955</v>
      </c>
      <c r="H957" s="3">
        <v>-0.10079586972067688</v>
      </c>
      <c r="I957" s="3">
        <v>-9.2034938731776865E-3</v>
      </c>
      <c r="J957">
        <f t="shared" si="15"/>
        <v>0</v>
      </c>
    </row>
    <row r="958" spans="7:10" ht="19.95" customHeight="1" x14ac:dyDescent="0.3">
      <c r="G958">
        <v>956</v>
      </c>
      <c r="H958" s="3">
        <v>5.4689834466161175E-3</v>
      </c>
      <c r="I958" s="3">
        <v>7.2346256629541542E-2</v>
      </c>
      <c r="J958">
        <f t="shared" si="15"/>
        <v>0</v>
      </c>
    </row>
    <row r="959" spans="7:10" ht="19.95" customHeight="1" x14ac:dyDescent="0.3">
      <c r="G959">
        <v>957</v>
      </c>
      <c r="H959" s="3">
        <v>9.8725523792288813E-2</v>
      </c>
      <c r="I959" s="3">
        <v>2.320162034426463E-2</v>
      </c>
      <c r="J959">
        <f t="shared" si="15"/>
        <v>1</v>
      </c>
    </row>
    <row r="960" spans="7:10" ht="19.95" customHeight="1" x14ac:dyDescent="0.3">
      <c r="G960">
        <v>958</v>
      </c>
      <c r="H960" s="3">
        <v>-9.4988862934659218E-2</v>
      </c>
      <c r="I960" s="3">
        <v>-0.20126881443116271</v>
      </c>
      <c r="J960">
        <f t="shared" si="15"/>
        <v>1</v>
      </c>
    </row>
    <row r="961" spans="7:10" ht="19.95" customHeight="1" x14ac:dyDescent="0.3">
      <c r="G961">
        <v>959</v>
      </c>
      <c r="H961" s="3">
        <v>-2.7251944214378342E-2</v>
      </c>
      <c r="I961" s="3">
        <v>-1.0269269399014123E-2</v>
      </c>
      <c r="J961">
        <f t="shared" si="15"/>
        <v>0</v>
      </c>
    </row>
    <row r="962" spans="7:10" ht="19.95" customHeight="1" x14ac:dyDescent="0.3">
      <c r="G962">
        <v>960</v>
      </c>
      <c r="H962" s="3">
        <v>-3.2208389782726318E-2</v>
      </c>
      <c r="I962" s="3">
        <v>-1.3707362034745249E-2</v>
      </c>
      <c r="J962">
        <f t="shared" si="15"/>
        <v>0</v>
      </c>
    </row>
    <row r="963" spans="7:10" ht="19.95" customHeight="1" x14ac:dyDescent="0.3">
      <c r="G963">
        <v>961</v>
      </c>
      <c r="H963" s="3">
        <v>0.22053300583006091</v>
      </c>
      <c r="I963" s="3">
        <v>0.16530821280042512</v>
      </c>
      <c r="J963">
        <f t="shared" si="15"/>
        <v>1</v>
      </c>
    </row>
    <row r="964" spans="7:10" ht="19.95" customHeight="1" x14ac:dyDescent="0.3">
      <c r="G964">
        <v>962</v>
      </c>
      <c r="H964" s="3">
        <v>4.974578560234847E-2</v>
      </c>
      <c r="I964" s="3">
        <v>3.1105857041142677E-2</v>
      </c>
      <c r="J964">
        <f t="shared" ref="J964:J1002" si="16">IF(H964&gt;I964,1,0)</f>
        <v>1</v>
      </c>
    </row>
    <row r="965" spans="7:10" ht="19.95" customHeight="1" x14ac:dyDescent="0.3">
      <c r="G965">
        <v>963</v>
      </c>
      <c r="H965" s="3">
        <v>8.7189488380817678E-2</v>
      </c>
      <c r="I965" s="3">
        <v>0.26954396083241378</v>
      </c>
      <c r="J965">
        <f t="shared" si="16"/>
        <v>0</v>
      </c>
    </row>
    <row r="966" spans="7:10" ht="19.95" customHeight="1" x14ac:dyDescent="0.3">
      <c r="G966">
        <v>964</v>
      </c>
      <c r="H966" s="3">
        <v>6.606556524625723E-2</v>
      </c>
      <c r="I966" s="3">
        <v>5.2824228277460354E-2</v>
      </c>
      <c r="J966">
        <f t="shared" si="16"/>
        <v>1</v>
      </c>
    </row>
    <row r="967" spans="7:10" ht="19.95" customHeight="1" x14ac:dyDescent="0.3">
      <c r="G967">
        <v>965</v>
      </c>
      <c r="H967" s="3">
        <v>0.13906815102837972</v>
      </c>
      <c r="I967" s="3">
        <v>0.10287181456940177</v>
      </c>
      <c r="J967">
        <f t="shared" si="16"/>
        <v>1</v>
      </c>
    </row>
    <row r="968" spans="7:10" ht="19.95" customHeight="1" x14ac:dyDescent="0.3">
      <c r="G968">
        <v>966</v>
      </c>
      <c r="H968" s="3">
        <v>-7.4260199209366211E-3</v>
      </c>
      <c r="I968" s="3">
        <v>7.0143765094861713E-2</v>
      </c>
      <c r="J968">
        <f t="shared" si="16"/>
        <v>0</v>
      </c>
    </row>
    <row r="969" spans="7:10" ht="19.95" customHeight="1" x14ac:dyDescent="0.3">
      <c r="G969">
        <v>967</v>
      </c>
      <c r="H969" s="3">
        <v>2.0194322350640934E-2</v>
      </c>
      <c r="I969" s="3">
        <v>8.1520345144951836E-2</v>
      </c>
      <c r="J969">
        <f t="shared" si="16"/>
        <v>0</v>
      </c>
    </row>
    <row r="970" spans="7:10" ht="19.95" customHeight="1" x14ac:dyDescent="0.3">
      <c r="G970">
        <v>968</v>
      </c>
      <c r="H970" s="3">
        <v>9.5825277300006062E-2</v>
      </c>
      <c r="I970" s="3">
        <v>5.6679980898857014E-2</v>
      </c>
      <c r="J970">
        <f t="shared" si="16"/>
        <v>1</v>
      </c>
    </row>
    <row r="971" spans="7:10" ht="19.95" customHeight="1" x14ac:dyDescent="0.3">
      <c r="G971">
        <v>969</v>
      </c>
      <c r="H971" s="3">
        <v>-9.3477450503600235E-2</v>
      </c>
      <c r="I971" s="3">
        <v>-2.0725325842749501E-2</v>
      </c>
      <c r="J971">
        <f t="shared" si="16"/>
        <v>0</v>
      </c>
    </row>
    <row r="972" spans="7:10" ht="19.95" customHeight="1" x14ac:dyDescent="0.3">
      <c r="G972">
        <v>970</v>
      </c>
      <c r="H972" s="3">
        <v>3.953527399877841E-3</v>
      </c>
      <c r="I972" s="3">
        <v>5.9252491429659007E-2</v>
      </c>
      <c r="J972">
        <f t="shared" si="16"/>
        <v>0</v>
      </c>
    </row>
    <row r="973" spans="7:10" ht="19.95" customHeight="1" x14ac:dyDescent="0.3">
      <c r="G973">
        <v>971</v>
      </c>
      <c r="H973" s="3">
        <v>0.17431374006733782</v>
      </c>
      <c r="I973" s="3">
        <v>0.11628558997327518</v>
      </c>
      <c r="J973">
        <f t="shared" si="16"/>
        <v>1</v>
      </c>
    </row>
    <row r="974" spans="7:10" ht="19.95" customHeight="1" x14ac:dyDescent="0.3">
      <c r="G974">
        <v>972</v>
      </c>
      <c r="H974" s="3">
        <v>3.8557016815923675E-2</v>
      </c>
      <c r="I974" s="3">
        <v>7.5166727305209166E-2</v>
      </c>
      <c r="J974">
        <f t="shared" si="16"/>
        <v>0</v>
      </c>
    </row>
    <row r="975" spans="7:10" ht="19.95" customHeight="1" x14ac:dyDescent="0.3">
      <c r="G975">
        <v>973</v>
      </c>
      <c r="H975" s="3">
        <v>0.10535863026408772</v>
      </c>
      <c r="I975" s="3">
        <v>7.1455409114032226E-2</v>
      </c>
      <c r="J975">
        <f t="shared" si="16"/>
        <v>1</v>
      </c>
    </row>
    <row r="976" spans="7:10" ht="19.95" customHeight="1" x14ac:dyDescent="0.3">
      <c r="G976">
        <v>974</v>
      </c>
      <c r="H976" s="3">
        <v>0.22250163740108919</v>
      </c>
      <c r="I976" s="3">
        <v>0.24837047287384714</v>
      </c>
      <c r="J976">
        <f t="shared" si="16"/>
        <v>0</v>
      </c>
    </row>
    <row r="977" spans="7:10" ht="19.95" customHeight="1" x14ac:dyDescent="0.3">
      <c r="G977">
        <v>975</v>
      </c>
      <c r="H977" s="3">
        <v>5.1738343927006325E-2</v>
      </c>
      <c r="I977" s="3">
        <v>2.584963889454232E-2</v>
      </c>
      <c r="J977">
        <f t="shared" si="16"/>
        <v>1</v>
      </c>
    </row>
    <row r="978" spans="7:10" ht="19.95" customHeight="1" x14ac:dyDescent="0.3">
      <c r="G978">
        <v>976</v>
      </c>
      <c r="H978" s="3">
        <v>8.2316048074880188E-2</v>
      </c>
      <c r="I978" s="3">
        <v>-2.428568299069242E-2</v>
      </c>
      <c r="J978">
        <f t="shared" si="16"/>
        <v>1</v>
      </c>
    </row>
    <row r="979" spans="7:10" ht="19.95" customHeight="1" x14ac:dyDescent="0.3">
      <c r="G979">
        <v>977</v>
      </c>
      <c r="H979" s="3">
        <v>1.3294535191631216E-2</v>
      </c>
      <c r="I979" s="3">
        <v>2.2858308869623884E-2</v>
      </c>
      <c r="J979">
        <f t="shared" si="16"/>
        <v>0</v>
      </c>
    </row>
    <row r="980" spans="7:10" ht="19.95" customHeight="1" x14ac:dyDescent="0.3">
      <c r="G980">
        <v>978</v>
      </c>
      <c r="H980" s="3">
        <v>-5.200423441563027E-2</v>
      </c>
      <c r="I980" s="3">
        <v>-0.13615640097574186</v>
      </c>
      <c r="J980">
        <f t="shared" si="16"/>
        <v>1</v>
      </c>
    </row>
    <row r="981" spans="7:10" ht="19.95" customHeight="1" x14ac:dyDescent="0.3">
      <c r="G981">
        <v>979</v>
      </c>
      <c r="H981" s="3">
        <v>0.14362181442301344</v>
      </c>
      <c r="I981" s="3">
        <v>7.4869634689390036E-2</v>
      </c>
      <c r="J981">
        <f t="shared" si="16"/>
        <v>1</v>
      </c>
    </row>
    <row r="982" spans="7:10" ht="19.95" customHeight="1" x14ac:dyDescent="0.3">
      <c r="G982">
        <v>980</v>
      </c>
      <c r="H982" s="3">
        <v>-5.3749054152246942E-2</v>
      </c>
      <c r="I982" s="3">
        <v>-8.2928232146726497E-2</v>
      </c>
      <c r="J982">
        <f t="shared" si="16"/>
        <v>1</v>
      </c>
    </row>
    <row r="983" spans="7:10" ht="19.95" customHeight="1" x14ac:dyDescent="0.3">
      <c r="G983">
        <v>981</v>
      </c>
      <c r="H983" s="3">
        <v>7.2134471305052877E-2</v>
      </c>
      <c r="I983" s="3">
        <v>8.3933174428288446E-2</v>
      </c>
      <c r="J983">
        <f t="shared" si="16"/>
        <v>0</v>
      </c>
    </row>
    <row r="984" spans="7:10" ht="19.95" customHeight="1" x14ac:dyDescent="0.3">
      <c r="G984">
        <v>982</v>
      </c>
      <c r="H984" s="3">
        <v>3.5455634781149291E-2</v>
      </c>
      <c r="I984" s="3">
        <v>4.1644890409248576E-2</v>
      </c>
      <c r="J984">
        <f t="shared" si="16"/>
        <v>0</v>
      </c>
    </row>
    <row r="985" spans="7:10" ht="19.95" customHeight="1" x14ac:dyDescent="0.3">
      <c r="G985">
        <v>983</v>
      </c>
      <c r="H985" s="3">
        <v>-2.2577426580009084E-2</v>
      </c>
      <c r="I985" s="3">
        <v>-0.10622230513552025</v>
      </c>
      <c r="J985">
        <f t="shared" si="16"/>
        <v>1</v>
      </c>
    </row>
    <row r="986" spans="7:10" ht="19.95" customHeight="1" x14ac:dyDescent="0.3">
      <c r="G986">
        <v>984</v>
      </c>
      <c r="H986" s="3">
        <v>3.6342744239469545E-2</v>
      </c>
      <c r="I986" s="3">
        <v>4.8139617920356904E-2</v>
      </c>
      <c r="J986">
        <f t="shared" si="16"/>
        <v>0</v>
      </c>
    </row>
    <row r="987" spans="7:10" ht="19.95" customHeight="1" x14ac:dyDescent="0.3">
      <c r="G987">
        <v>985</v>
      </c>
      <c r="H987" s="3">
        <v>0.14020401774988289</v>
      </c>
      <c r="I987" s="3">
        <v>-3.0701477523864342E-2</v>
      </c>
      <c r="J987">
        <f t="shared" si="16"/>
        <v>1</v>
      </c>
    </row>
    <row r="988" spans="7:10" ht="19.95" customHeight="1" x14ac:dyDescent="0.3">
      <c r="G988">
        <v>986</v>
      </c>
      <c r="H988" s="3">
        <v>3.8817179105869584E-2</v>
      </c>
      <c r="I988" s="3">
        <v>4.8932955920473607E-2</v>
      </c>
      <c r="J988">
        <f t="shared" si="16"/>
        <v>0</v>
      </c>
    </row>
    <row r="989" spans="7:10" ht="19.95" customHeight="1" x14ac:dyDescent="0.3">
      <c r="G989">
        <v>987</v>
      </c>
      <c r="H989" s="3">
        <v>0.11339440734164091</v>
      </c>
      <c r="I989" s="3">
        <v>4.5714245961552297E-2</v>
      </c>
      <c r="J989">
        <f t="shared" si="16"/>
        <v>1</v>
      </c>
    </row>
    <row r="990" spans="7:10" ht="19.95" customHeight="1" x14ac:dyDescent="0.3">
      <c r="G990">
        <v>988</v>
      </c>
      <c r="H990" s="3">
        <v>-2.0145594495076219E-2</v>
      </c>
      <c r="I990" s="3">
        <v>-0.11337216274829964</v>
      </c>
      <c r="J990">
        <f t="shared" si="16"/>
        <v>1</v>
      </c>
    </row>
    <row r="991" spans="7:10" ht="19.95" customHeight="1" x14ac:dyDescent="0.3">
      <c r="G991">
        <v>989</v>
      </c>
      <c r="H991" s="3">
        <v>-0.10168258635226127</v>
      </c>
      <c r="I991" s="3">
        <v>-4.1219307605056647E-2</v>
      </c>
      <c r="J991">
        <f t="shared" si="16"/>
        <v>0</v>
      </c>
    </row>
    <row r="992" spans="7:10" ht="19.95" customHeight="1" x14ac:dyDescent="0.3">
      <c r="G992">
        <v>990</v>
      </c>
      <c r="H992" s="3">
        <v>-9.6631104311481926E-3</v>
      </c>
      <c r="I992" s="3">
        <v>-9.4722279988494029E-2</v>
      </c>
      <c r="J992">
        <f t="shared" si="16"/>
        <v>1</v>
      </c>
    </row>
    <row r="993" spans="7:10" ht="19.95" customHeight="1" x14ac:dyDescent="0.3">
      <c r="G993">
        <v>991</v>
      </c>
      <c r="H993" s="3">
        <v>6.6688147632959433E-3</v>
      </c>
      <c r="I993" s="3">
        <v>-9.9102263207894739E-2</v>
      </c>
      <c r="J993">
        <f t="shared" si="16"/>
        <v>1</v>
      </c>
    </row>
    <row r="994" spans="7:10" ht="19.95" customHeight="1" x14ac:dyDescent="0.3">
      <c r="G994">
        <v>992</v>
      </c>
      <c r="H994" s="3">
        <v>1.9764513602466074E-2</v>
      </c>
      <c r="I994" s="3">
        <v>0.10958607072297878</v>
      </c>
      <c r="J994">
        <f t="shared" si="16"/>
        <v>0</v>
      </c>
    </row>
    <row r="995" spans="7:10" ht="19.95" customHeight="1" x14ac:dyDescent="0.3">
      <c r="G995">
        <v>993</v>
      </c>
      <c r="H995" s="3">
        <v>9.4219949726416334E-3</v>
      </c>
      <c r="I995" s="3">
        <v>-0.13484839555014458</v>
      </c>
      <c r="J995">
        <f t="shared" si="16"/>
        <v>1</v>
      </c>
    </row>
    <row r="996" spans="7:10" ht="19.95" customHeight="1" x14ac:dyDescent="0.3">
      <c r="G996">
        <v>994</v>
      </c>
      <c r="H996" s="3">
        <v>5.4960181150320656E-2</v>
      </c>
      <c r="I996" s="3">
        <v>0.2113524979312956</v>
      </c>
      <c r="J996">
        <f t="shared" si="16"/>
        <v>0</v>
      </c>
    </row>
    <row r="997" spans="7:10" ht="19.95" customHeight="1" x14ac:dyDescent="0.3">
      <c r="G997">
        <v>995</v>
      </c>
      <c r="H997" s="3">
        <v>0.23839657111143181</v>
      </c>
      <c r="I997" s="3">
        <v>0.23724284513291355</v>
      </c>
      <c r="J997">
        <f t="shared" si="16"/>
        <v>1</v>
      </c>
    </row>
    <row r="998" spans="7:10" ht="19.95" customHeight="1" x14ac:dyDescent="0.3">
      <c r="G998">
        <v>996</v>
      </c>
      <c r="H998" s="3">
        <v>3.9477898451324246E-2</v>
      </c>
      <c r="I998" s="3">
        <v>4.8647463306501305E-2</v>
      </c>
      <c r="J998">
        <f t="shared" si="16"/>
        <v>0</v>
      </c>
    </row>
    <row r="999" spans="7:10" ht="19.95" customHeight="1" x14ac:dyDescent="0.3">
      <c r="G999">
        <v>997</v>
      </c>
      <c r="H999" s="3">
        <v>-3.1733687293507264E-2</v>
      </c>
      <c r="I999" s="3">
        <v>-3.8774273574269345E-2</v>
      </c>
      <c r="J999">
        <f t="shared" si="16"/>
        <v>1</v>
      </c>
    </row>
    <row r="1000" spans="7:10" ht="19.95" customHeight="1" x14ac:dyDescent="0.3">
      <c r="G1000">
        <v>998</v>
      </c>
      <c r="H1000" s="3">
        <v>3.1189460279178495E-3</v>
      </c>
      <c r="I1000" s="3">
        <v>-9.1661935323456373E-2</v>
      </c>
      <c r="J1000">
        <f t="shared" si="16"/>
        <v>1</v>
      </c>
    </row>
    <row r="1001" spans="7:10" ht="19.95" customHeight="1" x14ac:dyDescent="0.3">
      <c r="G1001">
        <v>999</v>
      </c>
      <c r="H1001" s="3">
        <v>-4.2190729735116596E-2</v>
      </c>
      <c r="I1001" s="3">
        <v>-0.10250026627657986</v>
      </c>
      <c r="J1001">
        <f t="shared" si="16"/>
        <v>1</v>
      </c>
    </row>
    <row r="1002" spans="7:10" ht="19.95" customHeight="1" x14ac:dyDescent="0.3">
      <c r="G1002">
        <v>1000</v>
      </c>
      <c r="H1002" s="3">
        <v>0.16997711597739007</v>
      </c>
      <c r="I1002" s="3">
        <v>7.6817410902272856E-2</v>
      </c>
      <c r="J1002">
        <f t="shared" si="16"/>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FBF46-F3CE-40DB-90C8-4D5F1E006697}">
  <dimension ref="A1:I198"/>
  <sheetViews>
    <sheetView topLeftCell="D1" workbookViewId="0">
      <pane ySplit="1" topLeftCell="A180" activePane="bottomLeft" state="frozen"/>
      <selection pane="bottomLeft" activeCell="G196" sqref="G196:H198"/>
    </sheetView>
  </sheetViews>
  <sheetFormatPr defaultRowHeight="14.4" x14ac:dyDescent="0.3"/>
  <cols>
    <col min="1" max="1" width="10.5546875" bestFit="1" customWidth="1"/>
    <col min="7" max="7" width="11" bestFit="1" customWidth="1"/>
  </cols>
  <sheetData>
    <row r="1" spans="1:9" s="2" customFormat="1" x14ac:dyDescent="0.3">
      <c r="A1" s="2" t="s">
        <v>0</v>
      </c>
      <c r="B1" s="2" t="s">
        <v>1</v>
      </c>
      <c r="C1" s="2" t="s">
        <v>2</v>
      </c>
      <c r="D1" s="2" t="s">
        <v>3</v>
      </c>
      <c r="E1" s="2" t="s">
        <v>4</v>
      </c>
      <c r="F1" s="2" t="s">
        <v>5</v>
      </c>
      <c r="G1" s="2" t="s">
        <v>6</v>
      </c>
      <c r="H1" s="2" t="s">
        <v>9</v>
      </c>
      <c r="I1" s="2" t="s">
        <v>10</v>
      </c>
    </row>
    <row r="2" spans="1:9" x14ac:dyDescent="0.3">
      <c r="A2" s="1">
        <v>40360</v>
      </c>
      <c r="B2">
        <v>103.15</v>
      </c>
      <c r="C2">
        <v>112.29</v>
      </c>
      <c r="D2">
        <v>101.13</v>
      </c>
      <c r="E2">
        <v>110.27</v>
      </c>
      <c r="F2">
        <v>83.24</v>
      </c>
      <c r="G2">
        <v>4725402000</v>
      </c>
      <c r="H2" s="3"/>
      <c r="I2" t="str">
        <f t="shared" ref="I2:I33" si="0">IF(ISNUMBER(SEARCH("Dividend",B2)),"Yes","No")</f>
        <v>No</v>
      </c>
    </row>
    <row r="3" spans="1:9" x14ac:dyDescent="0.3">
      <c r="A3" s="1">
        <v>40391</v>
      </c>
      <c r="B3">
        <v>111.99</v>
      </c>
      <c r="C3">
        <v>113.18</v>
      </c>
      <c r="D3">
        <v>104.29</v>
      </c>
      <c r="E3">
        <v>105.31</v>
      </c>
      <c r="F3">
        <v>79.5</v>
      </c>
      <c r="G3">
        <v>4541971600</v>
      </c>
      <c r="H3" s="3">
        <f>(F3/F2) -1</f>
        <v>-4.4930321960595765E-2</v>
      </c>
      <c r="I3" t="str">
        <f t="shared" si="0"/>
        <v>No</v>
      </c>
    </row>
    <row r="4" spans="1:9" x14ac:dyDescent="0.3">
      <c r="A4" s="1">
        <v>40422</v>
      </c>
      <c r="B4">
        <v>106.73</v>
      </c>
      <c r="C4">
        <v>115.79</v>
      </c>
      <c r="D4">
        <v>106.66</v>
      </c>
      <c r="E4">
        <v>114.13</v>
      </c>
      <c r="F4">
        <v>86.15</v>
      </c>
      <c r="G4">
        <v>4035642500</v>
      </c>
      <c r="H4" s="3">
        <f t="shared" ref="H4:H67" si="1">(F4/F3) -1</f>
        <v>8.3647798742138457E-2</v>
      </c>
      <c r="I4" t="str">
        <f t="shared" si="0"/>
        <v>No</v>
      </c>
    </row>
    <row r="5" spans="1:9" x14ac:dyDescent="0.3">
      <c r="A5" s="1">
        <v>40452</v>
      </c>
      <c r="B5">
        <v>114.99</v>
      </c>
      <c r="C5">
        <v>119.76</v>
      </c>
      <c r="D5">
        <v>113.18</v>
      </c>
      <c r="E5">
        <v>118.49</v>
      </c>
      <c r="F5">
        <v>89.92</v>
      </c>
      <c r="G5">
        <v>3767490800</v>
      </c>
      <c r="H5" s="3">
        <f t="shared" si="1"/>
        <v>4.3760882182240168E-2</v>
      </c>
      <c r="I5" t="str">
        <f t="shared" si="0"/>
        <v>No</v>
      </c>
    </row>
    <row r="6" spans="1:9" x14ac:dyDescent="0.3">
      <c r="A6" s="1">
        <v>40483</v>
      </c>
      <c r="B6">
        <v>119.07</v>
      </c>
      <c r="C6">
        <v>122.95</v>
      </c>
      <c r="D6">
        <v>117.59</v>
      </c>
      <c r="E6">
        <v>118.49</v>
      </c>
      <c r="F6">
        <v>89.92</v>
      </c>
      <c r="G6">
        <v>3983708900</v>
      </c>
      <c r="H6" s="3">
        <f t="shared" si="1"/>
        <v>0</v>
      </c>
      <c r="I6" t="str">
        <f t="shared" si="0"/>
        <v>No</v>
      </c>
    </row>
    <row r="7" spans="1:9" x14ac:dyDescent="0.3">
      <c r="A7" s="1">
        <v>40513</v>
      </c>
      <c r="B7">
        <v>120.2</v>
      </c>
      <c r="C7">
        <v>126.2</v>
      </c>
      <c r="D7">
        <v>120.19</v>
      </c>
      <c r="E7">
        <v>125.75</v>
      </c>
      <c r="F7">
        <v>95.43</v>
      </c>
      <c r="G7">
        <v>2722749900</v>
      </c>
      <c r="H7" s="3">
        <f t="shared" si="1"/>
        <v>6.1276690391459221E-2</v>
      </c>
      <c r="I7" t="str">
        <f t="shared" si="0"/>
        <v>No</v>
      </c>
    </row>
    <row r="8" spans="1:9" x14ac:dyDescent="0.3">
      <c r="A8" s="1">
        <v>40544</v>
      </c>
      <c r="B8">
        <v>126.71</v>
      </c>
      <c r="C8">
        <v>130.35</v>
      </c>
      <c r="D8">
        <v>125.7</v>
      </c>
      <c r="E8">
        <v>128.68</v>
      </c>
      <c r="F8">
        <v>98.17</v>
      </c>
      <c r="G8">
        <v>2860314700</v>
      </c>
      <c r="H8" s="3">
        <f t="shared" si="1"/>
        <v>2.8712145027768976E-2</v>
      </c>
      <c r="I8" t="str">
        <f t="shared" si="0"/>
        <v>No</v>
      </c>
    </row>
    <row r="9" spans="1:9" x14ac:dyDescent="0.3">
      <c r="A9" s="1">
        <v>40575</v>
      </c>
      <c r="B9">
        <v>129.46</v>
      </c>
      <c r="C9">
        <v>134.69</v>
      </c>
      <c r="D9">
        <v>129.38</v>
      </c>
      <c r="E9">
        <v>133.15</v>
      </c>
      <c r="F9">
        <v>101.58</v>
      </c>
      <c r="G9">
        <v>2820073500</v>
      </c>
      <c r="H9" s="3">
        <f t="shared" si="1"/>
        <v>3.4735662626056873E-2</v>
      </c>
      <c r="I9" t="str">
        <f t="shared" si="0"/>
        <v>No</v>
      </c>
    </row>
    <row r="10" spans="1:9" x14ac:dyDescent="0.3">
      <c r="A10" s="1">
        <v>40603</v>
      </c>
      <c r="B10">
        <v>133.57</v>
      </c>
      <c r="C10">
        <v>133.69</v>
      </c>
      <c r="D10">
        <v>125.28</v>
      </c>
      <c r="E10">
        <v>132.59</v>
      </c>
      <c r="F10">
        <v>101.15</v>
      </c>
      <c r="G10">
        <v>4787459400</v>
      </c>
      <c r="H10" s="3">
        <f t="shared" si="1"/>
        <v>-4.2331167552667193E-3</v>
      </c>
      <c r="I10" t="str">
        <f t="shared" si="0"/>
        <v>No</v>
      </c>
    </row>
    <row r="11" spans="1:9" x14ac:dyDescent="0.3">
      <c r="A11" s="1">
        <v>40634</v>
      </c>
      <c r="B11">
        <v>133.41</v>
      </c>
      <c r="C11">
        <v>136.57</v>
      </c>
      <c r="D11">
        <v>129.51</v>
      </c>
      <c r="E11">
        <v>136.43</v>
      </c>
      <c r="F11">
        <v>104.54</v>
      </c>
      <c r="G11">
        <v>2812718500</v>
      </c>
      <c r="H11" s="3">
        <f t="shared" si="1"/>
        <v>3.3514582303509677E-2</v>
      </c>
      <c r="I11" t="str">
        <f t="shared" si="0"/>
        <v>No</v>
      </c>
    </row>
    <row r="12" spans="1:9" x14ac:dyDescent="0.3">
      <c r="A12" s="1">
        <v>40664</v>
      </c>
      <c r="B12">
        <v>137.07</v>
      </c>
      <c r="C12">
        <v>137.18</v>
      </c>
      <c r="D12">
        <v>131.38</v>
      </c>
      <c r="E12">
        <v>134.9</v>
      </c>
      <c r="F12">
        <v>103.36</v>
      </c>
      <c r="G12">
        <v>3337607300</v>
      </c>
      <c r="H12" s="3">
        <f t="shared" si="1"/>
        <v>-1.1287545437153268E-2</v>
      </c>
      <c r="I12" t="str">
        <f t="shared" si="0"/>
        <v>No</v>
      </c>
    </row>
    <row r="13" spans="1:9" x14ac:dyDescent="0.3">
      <c r="A13" s="1">
        <v>40695</v>
      </c>
      <c r="B13">
        <v>134.51</v>
      </c>
      <c r="C13">
        <v>134.91999999999999</v>
      </c>
      <c r="D13">
        <v>126.19</v>
      </c>
      <c r="E13">
        <v>131.97</v>
      </c>
      <c r="F13">
        <v>101.12</v>
      </c>
      <c r="G13">
        <v>4710433400</v>
      </c>
      <c r="H13" s="3">
        <f t="shared" si="1"/>
        <v>-2.1671826625386914E-2</v>
      </c>
      <c r="I13" t="str">
        <f t="shared" si="0"/>
        <v>No</v>
      </c>
    </row>
    <row r="14" spans="1:9" x14ac:dyDescent="0.3">
      <c r="A14" s="1">
        <v>40725</v>
      </c>
      <c r="B14">
        <v>132.09</v>
      </c>
      <c r="C14">
        <v>135.69999999999999</v>
      </c>
      <c r="D14">
        <v>127.97</v>
      </c>
      <c r="E14">
        <v>129.33000000000001</v>
      </c>
      <c r="F14">
        <v>99.59</v>
      </c>
      <c r="G14">
        <v>3840768000</v>
      </c>
      <c r="H14" s="3">
        <f t="shared" si="1"/>
        <v>-1.5130537974683556E-2</v>
      </c>
      <c r="I14" t="str">
        <f t="shared" si="0"/>
        <v>No</v>
      </c>
    </row>
    <row r="15" spans="1:9" x14ac:dyDescent="0.3">
      <c r="A15" s="1">
        <v>40756</v>
      </c>
      <c r="B15">
        <v>130.84</v>
      </c>
      <c r="C15">
        <v>130.96</v>
      </c>
      <c r="D15">
        <v>110.27</v>
      </c>
      <c r="E15">
        <v>122.22</v>
      </c>
      <c r="F15">
        <v>94.11</v>
      </c>
      <c r="G15">
        <v>9050451800</v>
      </c>
      <c r="H15" s="3">
        <f t="shared" si="1"/>
        <v>-5.5025604980419751E-2</v>
      </c>
      <c r="I15" t="str">
        <f t="shared" si="0"/>
        <v>No</v>
      </c>
    </row>
    <row r="16" spans="1:9" x14ac:dyDescent="0.3">
      <c r="A16" s="1">
        <v>40787</v>
      </c>
      <c r="B16">
        <v>122.29</v>
      </c>
      <c r="C16">
        <v>123.4</v>
      </c>
      <c r="D16">
        <v>111.3</v>
      </c>
      <c r="E16">
        <v>113.15</v>
      </c>
      <c r="F16">
        <v>87.13</v>
      </c>
      <c r="G16">
        <v>6188283200</v>
      </c>
      <c r="H16" s="3">
        <f t="shared" si="1"/>
        <v>-7.4168526192753159E-2</v>
      </c>
      <c r="I16" t="str">
        <f t="shared" si="0"/>
        <v>No</v>
      </c>
    </row>
    <row r="17" spans="1:9" x14ac:dyDescent="0.3">
      <c r="A17" s="1">
        <v>40817</v>
      </c>
      <c r="B17">
        <v>112.49</v>
      </c>
      <c r="C17">
        <v>129.41999999999999</v>
      </c>
      <c r="D17">
        <v>107.43</v>
      </c>
      <c r="E17">
        <v>125.5</v>
      </c>
      <c r="F17">
        <v>97.14</v>
      </c>
      <c r="G17">
        <v>5721102000</v>
      </c>
      <c r="H17" s="3">
        <f t="shared" si="1"/>
        <v>0.11488580282336747</v>
      </c>
      <c r="I17" t="str">
        <f t="shared" si="0"/>
        <v>No</v>
      </c>
    </row>
    <row r="18" spans="1:9" x14ac:dyDescent="0.3">
      <c r="A18" s="1">
        <v>40848</v>
      </c>
      <c r="B18">
        <v>122.03</v>
      </c>
      <c r="C18">
        <v>128.02000000000001</v>
      </c>
      <c r="D18">
        <v>116.2</v>
      </c>
      <c r="E18">
        <v>124.99</v>
      </c>
      <c r="F18">
        <v>96.74</v>
      </c>
      <c r="G18">
        <v>5013586000</v>
      </c>
      <c r="H18" s="3">
        <f t="shared" si="1"/>
        <v>-4.1177681696521473E-3</v>
      </c>
      <c r="I18" t="str">
        <f t="shared" si="0"/>
        <v>No</v>
      </c>
    </row>
    <row r="19" spans="1:9" x14ac:dyDescent="0.3">
      <c r="A19" s="1">
        <v>40878</v>
      </c>
      <c r="B19">
        <v>124.85</v>
      </c>
      <c r="C19">
        <v>127.26</v>
      </c>
      <c r="D19">
        <v>120.03</v>
      </c>
      <c r="E19">
        <v>125.5</v>
      </c>
      <c r="F19">
        <v>97.14</v>
      </c>
      <c r="G19">
        <v>3848636100</v>
      </c>
      <c r="H19" s="3">
        <f t="shared" si="1"/>
        <v>4.134794293984001E-3</v>
      </c>
      <c r="I19" t="str">
        <f t="shared" si="0"/>
        <v>No</v>
      </c>
    </row>
    <row r="20" spans="1:9" x14ac:dyDescent="0.3">
      <c r="A20" s="1">
        <v>40909</v>
      </c>
      <c r="B20">
        <v>127.76</v>
      </c>
      <c r="C20">
        <v>133.4</v>
      </c>
      <c r="D20">
        <v>126.43</v>
      </c>
      <c r="E20">
        <v>131.32</v>
      </c>
      <c r="F20">
        <v>102.29</v>
      </c>
      <c r="G20">
        <v>2883821400</v>
      </c>
      <c r="H20" s="3">
        <f t="shared" si="1"/>
        <v>5.3016265184270273E-2</v>
      </c>
      <c r="I20" t="str">
        <f t="shared" si="0"/>
        <v>No</v>
      </c>
    </row>
    <row r="21" spans="1:9" x14ac:dyDescent="0.3">
      <c r="A21" s="1">
        <v>40940</v>
      </c>
      <c r="B21">
        <v>132.29</v>
      </c>
      <c r="C21">
        <v>138.19</v>
      </c>
      <c r="D21">
        <v>132.13</v>
      </c>
      <c r="E21">
        <v>137.02000000000001</v>
      </c>
      <c r="F21">
        <v>106.73</v>
      </c>
      <c r="G21">
        <v>2894582000</v>
      </c>
      <c r="H21" s="3">
        <f t="shared" si="1"/>
        <v>4.3406002541792832E-2</v>
      </c>
      <c r="I21" t="str">
        <f t="shared" si="0"/>
        <v>No</v>
      </c>
    </row>
    <row r="22" spans="1:9" x14ac:dyDescent="0.3">
      <c r="A22" s="1">
        <v>40969</v>
      </c>
      <c r="B22">
        <v>137.31</v>
      </c>
      <c r="C22">
        <v>141.83000000000001</v>
      </c>
      <c r="D22">
        <v>134.36000000000001</v>
      </c>
      <c r="E22">
        <v>140.81</v>
      </c>
      <c r="F22">
        <v>109.68</v>
      </c>
      <c r="G22">
        <v>3057516200</v>
      </c>
      <c r="H22" s="3">
        <f t="shared" si="1"/>
        <v>2.7639838845685327E-2</v>
      </c>
      <c r="I22" t="str">
        <f t="shared" si="0"/>
        <v>No</v>
      </c>
    </row>
    <row r="23" spans="1:9" x14ac:dyDescent="0.3">
      <c r="A23" s="1">
        <v>41000</v>
      </c>
      <c r="B23">
        <v>140.63999999999999</v>
      </c>
      <c r="C23">
        <v>142.21</v>
      </c>
      <c r="D23">
        <v>135.76</v>
      </c>
      <c r="E23">
        <v>139.87</v>
      </c>
      <c r="F23">
        <v>109.42</v>
      </c>
      <c r="G23">
        <v>3035644100</v>
      </c>
      <c r="H23" s="3">
        <f t="shared" si="1"/>
        <v>-2.3705324580598486E-3</v>
      </c>
      <c r="I23" t="str">
        <f t="shared" si="0"/>
        <v>No</v>
      </c>
    </row>
    <row r="24" spans="1:9" x14ac:dyDescent="0.3">
      <c r="A24" s="1">
        <v>41030</v>
      </c>
      <c r="B24">
        <v>139.79</v>
      </c>
      <c r="C24">
        <v>141.66</v>
      </c>
      <c r="D24">
        <v>129.55000000000001</v>
      </c>
      <c r="E24">
        <v>131.47</v>
      </c>
      <c r="F24">
        <v>102.85</v>
      </c>
      <c r="G24">
        <v>4004156100</v>
      </c>
      <c r="H24" s="3">
        <f t="shared" si="1"/>
        <v>-6.0043867665874662E-2</v>
      </c>
      <c r="I24" t="str">
        <f t="shared" si="0"/>
        <v>No</v>
      </c>
    </row>
    <row r="25" spans="1:9" x14ac:dyDescent="0.3">
      <c r="A25" s="1">
        <v>41061</v>
      </c>
      <c r="B25">
        <v>129.41</v>
      </c>
      <c r="C25">
        <v>136.27000000000001</v>
      </c>
      <c r="D25">
        <v>127.14</v>
      </c>
      <c r="E25">
        <v>136.1</v>
      </c>
      <c r="F25">
        <v>106.48</v>
      </c>
      <c r="G25">
        <v>3644886200</v>
      </c>
      <c r="H25" s="3">
        <f t="shared" si="1"/>
        <v>3.529411764705892E-2</v>
      </c>
      <c r="I25" t="str">
        <f t="shared" si="0"/>
        <v>No</v>
      </c>
    </row>
    <row r="26" spans="1:9" x14ac:dyDescent="0.3">
      <c r="A26" s="1">
        <v>41091</v>
      </c>
      <c r="B26">
        <v>136.47999999999999</v>
      </c>
      <c r="C26">
        <v>139.34</v>
      </c>
      <c r="D26">
        <v>132.6</v>
      </c>
      <c r="E26">
        <v>137.71</v>
      </c>
      <c r="F26">
        <v>108.29</v>
      </c>
      <c r="G26">
        <v>2864743300</v>
      </c>
      <c r="H26" s="3">
        <f t="shared" si="1"/>
        <v>1.6998497370398269E-2</v>
      </c>
      <c r="I26" t="str">
        <f t="shared" si="0"/>
        <v>No</v>
      </c>
    </row>
    <row r="27" spans="1:9" x14ac:dyDescent="0.3">
      <c r="A27" s="1">
        <v>41122</v>
      </c>
      <c r="B27">
        <v>138.69999999999999</v>
      </c>
      <c r="C27">
        <v>143.09</v>
      </c>
      <c r="D27">
        <v>135.58000000000001</v>
      </c>
      <c r="E27">
        <v>141.16</v>
      </c>
      <c r="F27">
        <v>111.01</v>
      </c>
      <c r="G27">
        <v>2413590900</v>
      </c>
      <c r="H27" s="3">
        <f t="shared" si="1"/>
        <v>2.5117739403453632E-2</v>
      </c>
      <c r="I27" t="str">
        <f t="shared" si="0"/>
        <v>No</v>
      </c>
    </row>
    <row r="28" spans="1:9" x14ac:dyDescent="0.3">
      <c r="A28" s="1">
        <v>41153</v>
      </c>
      <c r="B28">
        <v>141.04</v>
      </c>
      <c r="C28">
        <v>148.11000000000001</v>
      </c>
      <c r="D28">
        <v>140.13</v>
      </c>
      <c r="E28">
        <v>143.97</v>
      </c>
      <c r="F28">
        <v>113.22</v>
      </c>
      <c r="G28">
        <v>2391233500</v>
      </c>
      <c r="H28" s="3">
        <f t="shared" si="1"/>
        <v>1.9908116385911168E-2</v>
      </c>
      <c r="I28" t="str">
        <f t="shared" si="0"/>
        <v>No</v>
      </c>
    </row>
    <row r="29" spans="1:9" x14ac:dyDescent="0.3">
      <c r="A29" s="1">
        <v>41183</v>
      </c>
      <c r="B29">
        <v>144.52000000000001</v>
      </c>
      <c r="C29">
        <v>147.16</v>
      </c>
      <c r="D29">
        <v>140.38999999999999</v>
      </c>
      <c r="E29">
        <v>141.35</v>
      </c>
      <c r="F29">
        <v>111.75</v>
      </c>
      <c r="G29">
        <v>2719915500</v>
      </c>
      <c r="H29" s="3">
        <f t="shared" si="1"/>
        <v>-1.2983571807101191E-2</v>
      </c>
      <c r="I29" t="str">
        <f t="shared" si="0"/>
        <v>No</v>
      </c>
    </row>
    <row r="30" spans="1:9" x14ac:dyDescent="0.3">
      <c r="A30" s="1">
        <v>41214</v>
      </c>
      <c r="B30">
        <v>141.65</v>
      </c>
      <c r="C30">
        <v>143.72</v>
      </c>
      <c r="D30">
        <v>134.69999999999999</v>
      </c>
      <c r="E30">
        <v>142.15</v>
      </c>
      <c r="F30">
        <v>112.38</v>
      </c>
      <c r="G30">
        <v>3032769100</v>
      </c>
      <c r="H30" s="3">
        <f t="shared" si="1"/>
        <v>5.6375838926174815E-3</v>
      </c>
      <c r="I30" t="str">
        <f t="shared" si="0"/>
        <v>No</v>
      </c>
    </row>
    <row r="31" spans="1:9" x14ac:dyDescent="0.3">
      <c r="A31" s="1">
        <v>41244</v>
      </c>
      <c r="B31">
        <v>142.80000000000001</v>
      </c>
      <c r="C31">
        <v>145.58000000000001</v>
      </c>
      <c r="D31">
        <v>139.54</v>
      </c>
      <c r="E31">
        <v>142.41</v>
      </c>
      <c r="F31">
        <v>112.59</v>
      </c>
      <c r="G31">
        <v>2889875900</v>
      </c>
      <c r="H31" s="3">
        <f t="shared" si="1"/>
        <v>1.8686599038975071E-3</v>
      </c>
      <c r="I31" t="str">
        <f t="shared" si="0"/>
        <v>No</v>
      </c>
    </row>
    <row r="32" spans="1:9" x14ac:dyDescent="0.3">
      <c r="A32" s="1">
        <v>41275</v>
      </c>
      <c r="B32">
        <v>145.11000000000001</v>
      </c>
      <c r="C32">
        <v>150.94</v>
      </c>
      <c r="D32">
        <v>144.72999999999999</v>
      </c>
      <c r="E32">
        <v>149.69999999999999</v>
      </c>
      <c r="F32">
        <v>119.19</v>
      </c>
      <c r="G32">
        <v>2587140200</v>
      </c>
      <c r="H32" s="3">
        <f t="shared" si="1"/>
        <v>5.8619770849986708E-2</v>
      </c>
      <c r="I32" t="str">
        <f t="shared" si="0"/>
        <v>No</v>
      </c>
    </row>
    <row r="33" spans="1:9" x14ac:dyDescent="0.3">
      <c r="A33" s="1">
        <v>41306</v>
      </c>
      <c r="B33">
        <v>150.65</v>
      </c>
      <c r="C33">
        <v>153.28</v>
      </c>
      <c r="D33">
        <v>148.72999999999999</v>
      </c>
      <c r="E33">
        <v>151.61000000000001</v>
      </c>
      <c r="F33">
        <v>120.71</v>
      </c>
      <c r="G33">
        <v>2581459300</v>
      </c>
      <c r="H33" s="3">
        <f t="shared" si="1"/>
        <v>1.2752747713734358E-2</v>
      </c>
      <c r="I33" t="str">
        <f t="shared" si="0"/>
        <v>No</v>
      </c>
    </row>
    <row r="34" spans="1:9" x14ac:dyDescent="0.3">
      <c r="A34" s="1">
        <v>41334</v>
      </c>
      <c r="B34">
        <v>151.09</v>
      </c>
      <c r="C34">
        <v>156.85</v>
      </c>
      <c r="D34">
        <v>150.41</v>
      </c>
      <c r="E34">
        <v>156.66999999999999</v>
      </c>
      <c r="F34">
        <v>124.74</v>
      </c>
      <c r="G34">
        <v>2330972300</v>
      </c>
      <c r="H34" s="3">
        <f t="shared" si="1"/>
        <v>3.3385800679313959E-2</v>
      </c>
      <c r="I34" t="str">
        <f t="shared" ref="I34:I65" si="2">IF(ISNUMBER(SEARCH("Dividend",B34)),"Yes","No")</f>
        <v>No</v>
      </c>
    </row>
    <row r="35" spans="1:9" x14ac:dyDescent="0.3">
      <c r="A35" s="1">
        <v>41365</v>
      </c>
      <c r="B35">
        <v>156.59</v>
      </c>
      <c r="C35">
        <v>159.72</v>
      </c>
      <c r="D35">
        <v>153.55000000000001</v>
      </c>
      <c r="E35">
        <v>159.68</v>
      </c>
      <c r="F35">
        <v>127.7</v>
      </c>
      <c r="G35">
        <v>2907035000</v>
      </c>
      <c r="H35" s="3">
        <f t="shared" si="1"/>
        <v>2.3729357062690415E-2</v>
      </c>
      <c r="I35" t="str">
        <f t="shared" si="2"/>
        <v>No</v>
      </c>
    </row>
    <row r="36" spans="1:9" x14ac:dyDescent="0.3">
      <c r="A36" s="1">
        <v>41395</v>
      </c>
      <c r="B36">
        <v>159.33000000000001</v>
      </c>
      <c r="C36">
        <v>169.07</v>
      </c>
      <c r="D36">
        <v>158.1</v>
      </c>
      <c r="E36">
        <v>163.44999999999999</v>
      </c>
      <c r="F36">
        <v>130.72</v>
      </c>
      <c r="G36">
        <v>2781596000</v>
      </c>
      <c r="H36" s="3">
        <f t="shared" si="1"/>
        <v>2.3649177760375784E-2</v>
      </c>
      <c r="I36" t="str">
        <f t="shared" si="2"/>
        <v>No</v>
      </c>
    </row>
    <row r="37" spans="1:9" x14ac:dyDescent="0.3">
      <c r="A37" s="1">
        <v>41426</v>
      </c>
      <c r="B37">
        <v>163.83000000000001</v>
      </c>
      <c r="C37">
        <v>165.99</v>
      </c>
      <c r="D37">
        <v>155.72999999999999</v>
      </c>
      <c r="E37">
        <v>160.41999999999999</v>
      </c>
      <c r="F37">
        <v>128.29</v>
      </c>
      <c r="G37">
        <v>3533321800</v>
      </c>
      <c r="H37" s="3">
        <f t="shared" si="1"/>
        <v>-1.8589351285189792E-2</v>
      </c>
      <c r="I37" t="str">
        <f t="shared" si="2"/>
        <v>No</v>
      </c>
    </row>
    <row r="38" spans="1:9" x14ac:dyDescent="0.3">
      <c r="A38" s="1">
        <v>41456</v>
      </c>
      <c r="B38">
        <v>161.26</v>
      </c>
      <c r="C38">
        <v>169.86</v>
      </c>
      <c r="D38">
        <v>160.22</v>
      </c>
      <c r="E38">
        <v>168.71</v>
      </c>
      <c r="F38">
        <v>135.63999999999999</v>
      </c>
      <c r="G38">
        <v>2330904500</v>
      </c>
      <c r="H38" s="3">
        <f t="shared" si="1"/>
        <v>5.7292072647907144E-2</v>
      </c>
      <c r="I38" t="str">
        <f t="shared" si="2"/>
        <v>No</v>
      </c>
    </row>
    <row r="39" spans="1:9" x14ac:dyDescent="0.3">
      <c r="A39" s="1">
        <v>41487</v>
      </c>
      <c r="B39">
        <v>169.99</v>
      </c>
      <c r="C39">
        <v>170.97</v>
      </c>
      <c r="D39">
        <v>163.05000000000001</v>
      </c>
      <c r="E39">
        <v>163.65</v>
      </c>
      <c r="F39">
        <v>131.57</v>
      </c>
      <c r="G39">
        <v>2283131700</v>
      </c>
      <c r="H39" s="3">
        <f t="shared" si="1"/>
        <v>-3.0005897965201922E-2</v>
      </c>
      <c r="I39" t="str">
        <f t="shared" si="2"/>
        <v>No</v>
      </c>
    </row>
    <row r="40" spans="1:9" x14ac:dyDescent="0.3">
      <c r="A40" s="1">
        <v>41518</v>
      </c>
      <c r="B40">
        <v>165.23</v>
      </c>
      <c r="C40">
        <v>173.6</v>
      </c>
      <c r="D40">
        <v>163.69999999999999</v>
      </c>
      <c r="E40">
        <v>168.01</v>
      </c>
      <c r="F40">
        <v>135.07</v>
      </c>
      <c r="G40">
        <v>2226749600</v>
      </c>
      <c r="H40" s="3">
        <f t="shared" si="1"/>
        <v>2.6601808923006676E-2</v>
      </c>
      <c r="I40" t="str">
        <f t="shared" si="2"/>
        <v>No</v>
      </c>
    </row>
    <row r="41" spans="1:9" x14ac:dyDescent="0.3">
      <c r="A41" s="1">
        <v>41548</v>
      </c>
      <c r="B41">
        <v>168.14</v>
      </c>
      <c r="C41">
        <v>177.51</v>
      </c>
      <c r="D41">
        <v>164.53</v>
      </c>
      <c r="E41">
        <v>175.79</v>
      </c>
      <c r="F41">
        <v>142.02000000000001</v>
      </c>
      <c r="G41">
        <v>2901739000</v>
      </c>
      <c r="H41" s="3">
        <f t="shared" si="1"/>
        <v>5.1454801214185331E-2</v>
      </c>
      <c r="I41" t="str">
        <f t="shared" si="2"/>
        <v>No</v>
      </c>
    </row>
    <row r="42" spans="1:9" x14ac:dyDescent="0.3">
      <c r="A42" s="1">
        <v>41579</v>
      </c>
      <c r="B42">
        <v>176.02</v>
      </c>
      <c r="C42">
        <v>181.75</v>
      </c>
      <c r="D42">
        <v>174.76</v>
      </c>
      <c r="E42">
        <v>181</v>
      </c>
      <c r="F42">
        <v>146.22999999999999</v>
      </c>
      <c r="G42">
        <v>1930952900</v>
      </c>
      <c r="H42" s="3">
        <f t="shared" si="1"/>
        <v>2.9643712153217816E-2</v>
      </c>
      <c r="I42" t="str">
        <f t="shared" si="2"/>
        <v>No</v>
      </c>
    </row>
    <row r="43" spans="1:9" x14ac:dyDescent="0.3">
      <c r="A43" s="1">
        <v>41609</v>
      </c>
      <c r="B43">
        <v>181.09</v>
      </c>
      <c r="C43">
        <v>184.69</v>
      </c>
      <c r="D43">
        <v>177.32</v>
      </c>
      <c r="E43">
        <v>184.69</v>
      </c>
      <c r="F43">
        <v>149.21</v>
      </c>
      <c r="G43">
        <v>2232775900</v>
      </c>
      <c r="H43" s="3">
        <f t="shared" si="1"/>
        <v>2.0378855228065484E-2</v>
      </c>
      <c r="I43" t="str">
        <f t="shared" si="2"/>
        <v>No</v>
      </c>
    </row>
    <row r="44" spans="1:9" x14ac:dyDescent="0.3">
      <c r="A44" s="1">
        <v>41640</v>
      </c>
      <c r="B44">
        <v>183.98</v>
      </c>
      <c r="C44">
        <v>184.94</v>
      </c>
      <c r="D44">
        <v>176.88</v>
      </c>
      <c r="E44">
        <v>178.18</v>
      </c>
      <c r="F44">
        <v>144.72999999999999</v>
      </c>
      <c r="G44">
        <v>2530650900</v>
      </c>
      <c r="H44" s="3">
        <f t="shared" si="1"/>
        <v>-3.0024797265598924E-2</v>
      </c>
      <c r="I44" t="str">
        <f t="shared" si="2"/>
        <v>No</v>
      </c>
    </row>
    <row r="45" spans="1:9" x14ac:dyDescent="0.3">
      <c r="A45" s="1">
        <v>41671</v>
      </c>
      <c r="B45">
        <v>177.97</v>
      </c>
      <c r="C45">
        <v>187.15</v>
      </c>
      <c r="D45">
        <v>173.71</v>
      </c>
      <c r="E45">
        <v>186.29</v>
      </c>
      <c r="F45">
        <v>151.32</v>
      </c>
      <c r="G45">
        <v>2394184600</v>
      </c>
      <c r="H45" s="3">
        <f t="shared" si="1"/>
        <v>4.5533061562910371E-2</v>
      </c>
      <c r="I45" t="str">
        <f t="shared" si="2"/>
        <v>No</v>
      </c>
    </row>
    <row r="46" spans="1:9" x14ac:dyDescent="0.3">
      <c r="A46" s="1">
        <v>41699</v>
      </c>
      <c r="B46">
        <v>184.65</v>
      </c>
      <c r="C46">
        <v>189.02</v>
      </c>
      <c r="D46">
        <v>183.75</v>
      </c>
      <c r="E46">
        <v>187.01</v>
      </c>
      <c r="F46">
        <v>151.9</v>
      </c>
      <c r="G46">
        <v>2554084300</v>
      </c>
      <c r="H46" s="3">
        <f t="shared" si="1"/>
        <v>3.8329368226275307E-3</v>
      </c>
      <c r="I46" t="str">
        <f t="shared" si="2"/>
        <v>No</v>
      </c>
    </row>
    <row r="47" spans="1:9" x14ac:dyDescent="0.3">
      <c r="A47" s="1">
        <v>41730</v>
      </c>
      <c r="B47">
        <v>187.62</v>
      </c>
      <c r="C47">
        <v>189.7</v>
      </c>
      <c r="D47">
        <v>181.31</v>
      </c>
      <c r="E47">
        <v>188.31</v>
      </c>
      <c r="F47">
        <v>153.63</v>
      </c>
      <c r="G47">
        <v>2345902000</v>
      </c>
      <c r="H47" s="3">
        <f t="shared" si="1"/>
        <v>1.1389071757735181E-2</v>
      </c>
      <c r="I47" t="str">
        <f t="shared" si="2"/>
        <v>No</v>
      </c>
    </row>
    <row r="48" spans="1:9" x14ac:dyDescent="0.3">
      <c r="A48" s="1">
        <v>41760</v>
      </c>
      <c r="B48">
        <v>188.22</v>
      </c>
      <c r="C48">
        <v>192.8</v>
      </c>
      <c r="D48">
        <v>186.01</v>
      </c>
      <c r="E48">
        <v>192.68</v>
      </c>
      <c r="F48">
        <v>157.19999999999999</v>
      </c>
      <c r="G48">
        <v>1781093800</v>
      </c>
      <c r="H48" s="3">
        <f t="shared" si="1"/>
        <v>2.3237648896699881E-2</v>
      </c>
      <c r="I48" t="str">
        <f t="shared" si="2"/>
        <v>No</v>
      </c>
    </row>
    <row r="49" spans="1:9" x14ac:dyDescent="0.3">
      <c r="A49" s="1">
        <v>41791</v>
      </c>
      <c r="B49">
        <v>192.95</v>
      </c>
      <c r="C49">
        <v>196.6</v>
      </c>
      <c r="D49">
        <v>191.97</v>
      </c>
      <c r="E49">
        <v>195.72</v>
      </c>
      <c r="F49">
        <v>159.68</v>
      </c>
      <c r="G49">
        <v>1675047300</v>
      </c>
      <c r="H49" s="3">
        <f t="shared" si="1"/>
        <v>1.5776081424936583E-2</v>
      </c>
      <c r="I49" t="str">
        <f t="shared" si="2"/>
        <v>No</v>
      </c>
    </row>
    <row r="50" spans="1:9" x14ac:dyDescent="0.3">
      <c r="A50" s="1">
        <v>41821</v>
      </c>
      <c r="B50">
        <v>196.2</v>
      </c>
      <c r="C50">
        <v>199.06</v>
      </c>
      <c r="D50">
        <v>192.97</v>
      </c>
      <c r="E50">
        <v>193.09</v>
      </c>
      <c r="F50">
        <v>158.29</v>
      </c>
      <c r="G50">
        <v>1893710200</v>
      </c>
      <c r="H50" s="3">
        <f t="shared" si="1"/>
        <v>-8.7049098196393393E-3</v>
      </c>
      <c r="I50" t="str">
        <f t="shared" si="2"/>
        <v>No</v>
      </c>
    </row>
    <row r="51" spans="1:9" x14ac:dyDescent="0.3">
      <c r="A51" s="1">
        <v>41852</v>
      </c>
      <c r="B51">
        <v>192.56</v>
      </c>
      <c r="C51">
        <v>200.82</v>
      </c>
      <c r="D51">
        <v>190.55</v>
      </c>
      <c r="E51">
        <v>200.71</v>
      </c>
      <c r="F51">
        <v>164.53</v>
      </c>
      <c r="G51">
        <v>1829885000</v>
      </c>
      <c r="H51" s="3">
        <f t="shared" si="1"/>
        <v>3.9421315307347271E-2</v>
      </c>
      <c r="I51" t="str">
        <f t="shared" si="2"/>
        <v>No</v>
      </c>
    </row>
    <row r="52" spans="1:9" x14ac:dyDescent="0.3">
      <c r="A52" s="1">
        <v>41883</v>
      </c>
      <c r="B52">
        <v>200.97</v>
      </c>
      <c r="C52">
        <v>201.9</v>
      </c>
      <c r="D52">
        <v>196.05</v>
      </c>
      <c r="E52">
        <v>197.02</v>
      </c>
      <c r="F52">
        <v>161.51</v>
      </c>
      <c r="G52">
        <v>2106462700</v>
      </c>
      <c r="H52" s="3">
        <f t="shared" si="1"/>
        <v>-1.835531514009614E-2</v>
      </c>
      <c r="I52" t="str">
        <f t="shared" si="2"/>
        <v>No</v>
      </c>
    </row>
    <row r="53" spans="1:9" x14ac:dyDescent="0.3">
      <c r="A53" s="1">
        <v>41913</v>
      </c>
      <c r="B53">
        <v>196.7</v>
      </c>
      <c r="C53">
        <v>201.82</v>
      </c>
      <c r="D53">
        <v>181.92</v>
      </c>
      <c r="E53">
        <v>201.66</v>
      </c>
      <c r="F53">
        <v>166.09</v>
      </c>
      <c r="G53">
        <v>3943068000</v>
      </c>
      <c r="H53" s="3">
        <f t="shared" si="1"/>
        <v>2.835737725218257E-2</v>
      </c>
      <c r="I53" t="str">
        <f t="shared" si="2"/>
        <v>No</v>
      </c>
    </row>
    <row r="54" spans="1:9" x14ac:dyDescent="0.3">
      <c r="A54" s="1">
        <v>41944</v>
      </c>
      <c r="B54">
        <v>201.92</v>
      </c>
      <c r="C54">
        <v>207.87</v>
      </c>
      <c r="D54">
        <v>200.06</v>
      </c>
      <c r="E54">
        <v>207.2</v>
      </c>
      <c r="F54">
        <v>170.65</v>
      </c>
      <c r="G54">
        <v>1571091800</v>
      </c>
      <c r="H54" s="3">
        <f t="shared" si="1"/>
        <v>2.7454994280209588E-2</v>
      </c>
      <c r="I54" t="str">
        <f t="shared" si="2"/>
        <v>No</v>
      </c>
    </row>
    <row r="55" spans="1:9" x14ac:dyDescent="0.3">
      <c r="A55" s="1">
        <v>41974</v>
      </c>
      <c r="B55">
        <v>206.4</v>
      </c>
      <c r="C55">
        <v>212.97</v>
      </c>
      <c r="D55">
        <v>197.86</v>
      </c>
      <c r="E55">
        <v>205.54</v>
      </c>
      <c r="F55">
        <v>169.28</v>
      </c>
      <c r="G55">
        <v>3045171000</v>
      </c>
      <c r="H55" s="3">
        <f t="shared" si="1"/>
        <v>-8.0281277468503554E-3</v>
      </c>
      <c r="I55" t="str">
        <f t="shared" si="2"/>
        <v>No</v>
      </c>
    </row>
    <row r="56" spans="1:9" x14ac:dyDescent="0.3">
      <c r="A56" s="1">
        <v>42005</v>
      </c>
      <c r="B56">
        <v>206.38</v>
      </c>
      <c r="C56">
        <v>206.88</v>
      </c>
      <c r="D56">
        <v>198.55</v>
      </c>
      <c r="E56">
        <v>199.45</v>
      </c>
      <c r="F56">
        <v>165.17</v>
      </c>
      <c r="G56">
        <v>3183506000</v>
      </c>
      <c r="H56" s="3">
        <f t="shared" si="1"/>
        <v>-2.4279300567107809E-2</v>
      </c>
      <c r="I56" t="str">
        <f t="shared" si="2"/>
        <v>No</v>
      </c>
    </row>
    <row r="57" spans="1:9" x14ac:dyDescent="0.3">
      <c r="A57" s="1">
        <v>42036</v>
      </c>
      <c r="B57">
        <v>200.05</v>
      </c>
      <c r="C57">
        <v>212.24</v>
      </c>
      <c r="D57">
        <v>197.86</v>
      </c>
      <c r="E57">
        <v>210.66</v>
      </c>
      <c r="F57">
        <v>174.46</v>
      </c>
      <c r="G57">
        <v>1901638100</v>
      </c>
      <c r="H57" s="3">
        <f t="shared" si="1"/>
        <v>5.6245080825815919E-2</v>
      </c>
      <c r="I57" t="str">
        <f t="shared" si="2"/>
        <v>No</v>
      </c>
    </row>
    <row r="58" spans="1:9" x14ac:dyDescent="0.3">
      <c r="A58" s="1">
        <v>42064</v>
      </c>
      <c r="B58">
        <v>210.78</v>
      </c>
      <c r="C58">
        <v>212.06</v>
      </c>
      <c r="D58">
        <v>204.12</v>
      </c>
      <c r="E58">
        <v>206.43</v>
      </c>
      <c r="F58">
        <v>170.95</v>
      </c>
      <c r="G58">
        <v>2749923000</v>
      </c>
      <c r="H58" s="3">
        <f t="shared" si="1"/>
        <v>-2.0119225037257937E-2</v>
      </c>
      <c r="I58" t="str">
        <f t="shared" si="2"/>
        <v>No</v>
      </c>
    </row>
    <row r="59" spans="1:9" x14ac:dyDescent="0.3">
      <c r="A59" s="1">
        <v>42095</v>
      </c>
      <c r="B59">
        <v>206.39</v>
      </c>
      <c r="C59">
        <v>212.48</v>
      </c>
      <c r="D59">
        <v>204.51</v>
      </c>
      <c r="E59">
        <v>208.46</v>
      </c>
      <c r="F59">
        <v>173.4</v>
      </c>
      <c r="G59">
        <v>2036685200</v>
      </c>
      <c r="H59" s="3">
        <f t="shared" si="1"/>
        <v>1.4331675928634269E-2</v>
      </c>
      <c r="I59" t="str">
        <f t="shared" si="2"/>
        <v>No</v>
      </c>
    </row>
    <row r="60" spans="1:9" x14ac:dyDescent="0.3">
      <c r="A60" s="1">
        <v>42125</v>
      </c>
      <c r="B60">
        <v>209.4</v>
      </c>
      <c r="C60">
        <v>213.78</v>
      </c>
      <c r="D60">
        <v>206.76</v>
      </c>
      <c r="E60">
        <v>211.14</v>
      </c>
      <c r="F60">
        <v>175.63</v>
      </c>
      <c r="G60">
        <v>1892519900</v>
      </c>
      <c r="H60" s="3">
        <f t="shared" si="1"/>
        <v>1.2860438292964238E-2</v>
      </c>
      <c r="I60" t="str">
        <f t="shared" si="2"/>
        <v>No</v>
      </c>
    </row>
    <row r="61" spans="1:9" x14ac:dyDescent="0.3">
      <c r="A61" s="1">
        <v>42156</v>
      </c>
      <c r="B61">
        <v>211.94</v>
      </c>
      <c r="C61">
        <v>213.34</v>
      </c>
      <c r="D61">
        <v>205.28</v>
      </c>
      <c r="E61">
        <v>205.85</v>
      </c>
      <c r="F61">
        <v>171.23</v>
      </c>
      <c r="G61">
        <v>2535242600</v>
      </c>
      <c r="H61" s="3">
        <f t="shared" si="1"/>
        <v>-2.5052667539714246E-2</v>
      </c>
      <c r="I61" t="str">
        <f t="shared" si="2"/>
        <v>No</v>
      </c>
    </row>
    <row r="62" spans="1:9" x14ac:dyDescent="0.3">
      <c r="A62" s="1">
        <v>42186</v>
      </c>
      <c r="B62">
        <v>207.73</v>
      </c>
      <c r="C62">
        <v>213.18</v>
      </c>
      <c r="D62">
        <v>204.11</v>
      </c>
      <c r="E62">
        <v>210.5</v>
      </c>
      <c r="F62">
        <v>175.95</v>
      </c>
      <c r="G62">
        <v>2452758000</v>
      </c>
      <c r="H62" s="3">
        <f t="shared" si="1"/>
        <v>2.7565263096420045E-2</v>
      </c>
      <c r="I62" t="str">
        <f t="shared" si="2"/>
        <v>No</v>
      </c>
    </row>
    <row r="63" spans="1:9" x14ac:dyDescent="0.3">
      <c r="A63" s="1">
        <v>42217</v>
      </c>
      <c r="B63">
        <v>210.46</v>
      </c>
      <c r="C63">
        <v>211.31</v>
      </c>
      <c r="D63">
        <v>182.4</v>
      </c>
      <c r="E63">
        <v>197.67</v>
      </c>
      <c r="F63">
        <v>165.23</v>
      </c>
      <c r="G63">
        <v>3734926900</v>
      </c>
      <c r="H63" s="3">
        <f t="shared" si="1"/>
        <v>-6.0926399545325416E-2</v>
      </c>
      <c r="I63" t="str">
        <f t="shared" si="2"/>
        <v>No</v>
      </c>
    </row>
    <row r="64" spans="1:9" x14ac:dyDescent="0.3">
      <c r="A64" s="1">
        <v>42248</v>
      </c>
      <c r="B64">
        <v>193.12</v>
      </c>
      <c r="C64">
        <v>202.89</v>
      </c>
      <c r="D64">
        <v>186.93</v>
      </c>
      <c r="E64">
        <v>191.63</v>
      </c>
      <c r="F64">
        <v>160.18</v>
      </c>
      <c r="G64">
        <v>3279512900</v>
      </c>
      <c r="H64" s="3">
        <f t="shared" si="1"/>
        <v>-3.056345699933416E-2</v>
      </c>
      <c r="I64" t="str">
        <f t="shared" si="2"/>
        <v>No</v>
      </c>
    </row>
    <row r="65" spans="1:9" x14ac:dyDescent="0.3">
      <c r="A65" s="1">
        <v>42278</v>
      </c>
      <c r="B65">
        <v>192.08</v>
      </c>
      <c r="C65">
        <v>209.44</v>
      </c>
      <c r="D65">
        <v>189.12</v>
      </c>
      <c r="E65">
        <v>207.93</v>
      </c>
      <c r="F65">
        <v>174.71</v>
      </c>
      <c r="G65">
        <v>2536184400</v>
      </c>
      <c r="H65" s="3">
        <f t="shared" si="1"/>
        <v>9.0710450742914173E-2</v>
      </c>
      <c r="I65" t="str">
        <f t="shared" si="2"/>
        <v>No</v>
      </c>
    </row>
    <row r="66" spans="1:9" x14ac:dyDescent="0.3">
      <c r="A66" s="1">
        <v>42309</v>
      </c>
      <c r="B66">
        <v>208.32</v>
      </c>
      <c r="C66">
        <v>211.66</v>
      </c>
      <c r="D66">
        <v>202.18</v>
      </c>
      <c r="E66">
        <v>208.69</v>
      </c>
      <c r="F66">
        <v>175.35</v>
      </c>
      <c r="G66">
        <v>1924512800</v>
      </c>
      <c r="H66" s="3">
        <f t="shared" si="1"/>
        <v>3.6632133249383525E-3</v>
      </c>
      <c r="I66" t="str">
        <f t="shared" ref="I66:I97" si="3">IF(ISNUMBER(SEARCH("Dividend",B66)),"Yes","No")</f>
        <v>No</v>
      </c>
    </row>
    <row r="67" spans="1:9" x14ac:dyDescent="0.3">
      <c r="A67" s="1">
        <v>42339</v>
      </c>
      <c r="B67">
        <v>209.44</v>
      </c>
      <c r="C67">
        <v>211</v>
      </c>
      <c r="D67">
        <v>199.83</v>
      </c>
      <c r="E67">
        <v>203.87</v>
      </c>
      <c r="F67">
        <v>171.3</v>
      </c>
      <c r="G67">
        <v>2924882300</v>
      </c>
      <c r="H67" s="3">
        <f t="shared" si="1"/>
        <v>-2.309666381522657E-2</v>
      </c>
      <c r="I67" t="str">
        <f t="shared" si="3"/>
        <v>No</v>
      </c>
    </row>
    <row r="68" spans="1:9" x14ac:dyDescent="0.3">
      <c r="A68" s="1">
        <v>42370</v>
      </c>
      <c r="B68">
        <v>200.49</v>
      </c>
      <c r="C68">
        <v>201.9</v>
      </c>
      <c r="D68">
        <v>181.02</v>
      </c>
      <c r="E68">
        <v>193.72</v>
      </c>
      <c r="F68">
        <v>163.74</v>
      </c>
      <c r="G68">
        <v>3712950900</v>
      </c>
      <c r="H68" s="3">
        <f t="shared" ref="H68:H131" si="4">(F68/F67) -1</f>
        <v>-4.4133099824868682E-2</v>
      </c>
      <c r="I68" t="str">
        <f t="shared" si="3"/>
        <v>No</v>
      </c>
    </row>
    <row r="69" spans="1:9" x14ac:dyDescent="0.3">
      <c r="A69" s="1">
        <v>42401</v>
      </c>
      <c r="B69">
        <v>192.53</v>
      </c>
      <c r="C69">
        <v>196.68</v>
      </c>
      <c r="D69">
        <v>181.09</v>
      </c>
      <c r="E69">
        <v>193.56</v>
      </c>
      <c r="F69">
        <v>163.6</v>
      </c>
      <c r="G69">
        <v>2920730800</v>
      </c>
      <c r="H69" s="3">
        <f t="shared" si="4"/>
        <v>-8.5501404665944136E-4</v>
      </c>
      <c r="I69" t="str">
        <f t="shared" si="3"/>
        <v>No</v>
      </c>
    </row>
    <row r="70" spans="1:9" x14ac:dyDescent="0.3">
      <c r="A70" s="1">
        <v>42430</v>
      </c>
      <c r="B70">
        <v>195.01</v>
      </c>
      <c r="C70">
        <v>206.87</v>
      </c>
      <c r="D70">
        <v>194.45</v>
      </c>
      <c r="E70">
        <v>205.52</v>
      </c>
      <c r="F70">
        <v>173.71</v>
      </c>
      <c r="G70">
        <v>2323306500</v>
      </c>
      <c r="H70" s="3">
        <f t="shared" si="4"/>
        <v>6.1797066014670055E-2</v>
      </c>
      <c r="I70" t="str">
        <f t="shared" si="3"/>
        <v>No</v>
      </c>
    </row>
    <row r="71" spans="1:9" x14ac:dyDescent="0.3">
      <c r="A71" s="1">
        <v>42461</v>
      </c>
      <c r="B71">
        <v>204.35</v>
      </c>
      <c r="C71">
        <v>210.92</v>
      </c>
      <c r="D71">
        <v>203.09</v>
      </c>
      <c r="E71">
        <v>206.33</v>
      </c>
      <c r="F71">
        <v>175.3</v>
      </c>
      <c r="G71">
        <v>1910635600</v>
      </c>
      <c r="H71" s="3">
        <f t="shared" si="4"/>
        <v>9.1531863450577955E-3</v>
      </c>
      <c r="I71" t="str">
        <f t="shared" si="3"/>
        <v>No</v>
      </c>
    </row>
    <row r="72" spans="1:9" x14ac:dyDescent="0.3">
      <c r="A72" s="1">
        <v>42491</v>
      </c>
      <c r="B72">
        <v>206.92</v>
      </c>
      <c r="C72">
        <v>210.69</v>
      </c>
      <c r="D72">
        <v>202.78</v>
      </c>
      <c r="E72">
        <v>209.84</v>
      </c>
      <c r="F72">
        <v>178.28</v>
      </c>
      <c r="G72">
        <v>1828530900</v>
      </c>
      <c r="H72" s="3">
        <f t="shared" si="4"/>
        <v>1.6999429549343859E-2</v>
      </c>
      <c r="I72" t="str">
        <f t="shared" si="3"/>
        <v>No</v>
      </c>
    </row>
    <row r="73" spans="1:9" x14ac:dyDescent="0.3">
      <c r="A73" s="1">
        <v>42522</v>
      </c>
      <c r="B73">
        <v>209.12</v>
      </c>
      <c r="C73">
        <v>212.52</v>
      </c>
      <c r="D73">
        <v>198.65</v>
      </c>
      <c r="E73">
        <v>209.48</v>
      </c>
      <c r="F73">
        <v>177.97</v>
      </c>
      <c r="G73">
        <v>2612406900</v>
      </c>
      <c r="H73" s="3">
        <f t="shared" si="4"/>
        <v>-1.738837783262337E-3</v>
      </c>
      <c r="I73" t="str">
        <f t="shared" si="3"/>
        <v>No</v>
      </c>
    </row>
    <row r="74" spans="1:9" x14ac:dyDescent="0.3">
      <c r="A74" s="1">
        <v>42552</v>
      </c>
      <c r="B74">
        <v>209.48</v>
      </c>
      <c r="C74">
        <v>217.54</v>
      </c>
      <c r="D74">
        <v>207.06</v>
      </c>
      <c r="E74">
        <v>217.12</v>
      </c>
      <c r="F74">
        <v>185.42</v>
      </c>
      <c r="G74">
        <v>1648453700</v>
      </c>
      <c r="H74" s="3">
        <f t="shared" si="4"/>
        <v>4.1860987806933592E-2</v>
      </c>
      <c r="I74" t="str">
        <f t="shared" si="3"/>
        <v>No</v>
      </c>
    </row>
    <row r="75" spans="1:9" x14ac:dyDescent="0.3">
      <c r="A75" s="1">
        <v>42583</v>
      </c>
      <c r="B75">
        <v>217.19</v>
      </c>
      <c r="C75">
        <v>219.6</v>
      </c>
      <c r="D75">
        <v>214.25</v>
      </c>
      <c r="E75">
        <v>217.38</v>
      </c>
      <c r="F75">
        <v>185.64</v>
      </c>
      <c r="G75">
        <v>1519703200</v>
      </c>
      <c r="H75" s="3">
        <f t="shared" si="4"/>
        <v>1.1864955236760011E-3</v>
      </c>
      <c r="I75" t="str">
        <f t="shared" si="3"/>
        <v>No</v>
      </c>
    </row>
    <row r="76" spans="1:9" x14ac:dyDescent="0.3">
      <c r="A76" s="1">
        <v>42614</v>
      </c>
      <c r="B76">
        <v>217.37</v>
      </c>
      <c r="C76">
        <v>219.22</v>
      </c>
      <c r="D76">
        <v>212.31</v>
      </c>
      <c r="E76">
        <v>216.3</v>
      </c>
      <c r="F76">
        <v>184.72</v>
      </c>
      <c r="G76">
        <v>2292393000</v>
      </c>
      <c r="H76" s="3">
        <f t="shared" si="4"/>
        <v>-4.9558284852402323E-3</v>
      </c>
      <c r="I76" t="str">
        <f t="shared" si="3"/>
        <v>No</v>
      </c>
    </row>
    <row r="77" spans="1:9" x14ac:dyDescent="0.3">
      <c r="A77" s="1">
        <v>42644</v>
      </c>
      <c r="B77">
        <v>215.82</v>
      </c>
      <c r="C77">
        <v>216.7</v>
      </c>
      <c r="D77">
        <v>211.21</v>
      </c>
      <c r="E77">
        <v>212.55</v>
      </c>
      <c r="F77">
        <v>182.44</v>
      </c>
      <c r="G77">
        <v>1725687400</v>
      </c>
      <c r="H77" s="3">
        <f t="shared" si="4"/>
        <v>-1.23430056301429E-2</v>
      </c>
      <c r="I77" t="str">
        <f t="shared" si="3"/>
        <v>No</v>
      </c>
    </row>
    <row r="78" spans="1:9" x14ac:dyDescent="0.3">
      <c r="A78" s="1">
        <v>42675</v>
      </c>
      <c r="B78">
        <v>212.93</v>
      </c>
      <c r="C78">
        <v>221.82</v>
      </c>
      <c r="D78">
        <v>208.38</v>
      </c>
      <c r="E78">
        <v>220.38</v>
      </c>
      <c r="F78">
        <v>189.16</v>
      </c>
      <c r="G78">
        <v>2073824400</v>
      </c>
      <c r="H78" s="3">
        <f t="shared" si="4"/>
        <v>3.6834027625520793E-2</v>
      </c>
      <c r="I78" t="str">
        <f t="shared" si="3"/>
        <v>No</v>
      </c>
    </row>
    <row r="79" spans="1:9" x14ac:dyDescent="0.3">
      <c r="A79" s="1">
        <v>42705</v>
      </c>
      <c r="B79">
        <v>220.73</v>
      </c>
      <c r="C79">
        <v>228.34</v>
      </c>
      <c r="D79">
        <v>219.15</v>
      </c>
      <c r="E79">
        <v>223.53</v>
      </c>
      <c r="F79">
        <v>191.86</v>
      </c>
      <c r="G79">
        <v>1821910200</v>
      </c>
      <c r="H79" s="3">
        <f t="shared" si="4"/>
        <v>1.4273630788750324E-2</v>
      </c>
      <c r="I79" t="str">
        <f t="shared" si="3"/>
        <v>No</v>
      </c>
    </row>
    <row r="80" spans="1:9" x14ac:dyDescent="0.3">
      <c r="A80" s="1">
        <v>42736</v>
      </c>
      <c r="B80">
        <v>225.04</v>
      </c>
      <c r="C80">
        <v>229.71</v>
      </c>
      <c r="D80">
        <v>223.88</v>
      </c>
      <c r="E80">
        <v>227.53</v>
      </c>
      <c r="F80">
        <v>196.45</v>
      </c>
      <c r="G80">
        <v>1482408500</v>
      </c>
      <c r="H80" s="3">
        <f t="shared" si="4"/>
        <v>2.3923694360471037E-2</v>
      </c>
      <c r="I80" t="str">
        <f t="shared" si="3"/>
        <v>No</v>
      </c>
    </row>
    <row r="81" spans="1:9" x14ac:dyDescent="0.3">
      <c r="A81" s="1">
        <v>42767</v>
      </c>
      <c r="B81">
        <v>227.53</v>
      </c>
      <c r="C81">
        <v>237.31</v>
      </c>
      <c r="D81">
        <v>226.82</v>
      </c>
      <c r="E81">
        <v>236.47</v>
      </c>
      <c r="F81">
        <v>204.16</v>
      </c>
      <c r="G81">
        <v>1365136600</v>
      </c>
      <c r="H81" s="3">
        <f t="shared" si="4"/>
        <v>3.9246627640621146E-2</v>
      </c>
      <c r="I81" t="str">
        <f t="shared" si="3"/>
        <v>No</v>
      </c>
    </row>
    <row r="82" spans="1:9" x14ac:dyDescent="0.3">
      <c r="A82" s="1">
        <v>42795</v>
      </c>
      <c r="B82">
        <v>238.39</v>
      </c>
      <c r="C82">
        <v>240.32</v>
      </c>
      <c r="D82">
        <v>231.61</v>
      </c>
      <c r="E82">
        <v>235.74</v>
      </c>
      <c r="F82">
        <v>203.53</v>
      </c>
      <c r="G82">
        <v>1921474100</v>
      </c>
      <c r="H82" s="3">
        <f t="shared" si="4"/>
        <v>-3.0858150470218781E-3</v>
      </c>
      <c r="I82" t="str">
        <f t="shared" si="3"/>
        <v>No</v>
      </c>
    </row>
    <row r="83" spans="1:9" x14ac:dyDescent="0.3">
      <c r="A83" s="1">
        <v>42826</v>
      </c>
      <c r="B83">
        <v>235.8</v>
      </c>
      <c r="C83">
        <v>239.53</v>
      </c>
      <c r="D83">
        <v>232.51</v>
      </c>
      <c r="E83">
        <v>238.08</v>
      </c>
      <c r="F83">
        <v>206.45</v>
      </c>
      <c r="G83">
        <v>1549613700</v>
      </c>
      <c r="H83" s="3">
        <f t="shared" si="4"/>
        <v>1.4346779344568406E-2</v>
      </c>
      <c r="I83" t="str">
        <f t="shared" si="3"/>
        <v>No</v>
      </c>
    </row>
    <row r="84" spans="1:9" x14ac:dyDescent="0.3">
      <c r="A84" s="1">
        <v>42856</v>
      </c>
      <c r="B84">
        <v>238.68</v>
      </c>
      <c r="C84">
        <v>242.08</v>
      </c>
      <c r="D84">
        <v>235.43</v>
      </c>
      <c r="E84">
        <v>241.44</v>
      </c>
      <c r="F84">
        <v>209.36</v>
      </c>
      <c r="G84">
        <v>1492547000</v>
      </c>
      <c r="H84" s="3">
        <f t="shared" si="4"/>
        <v>1.409542262048924E-2</v>
      </c>
      <c r="I84" t="str">
        <f t="shared" si="3"/>
        <v>No</v>
      </c>
    </row>
    <row r="85" spans="1:9" x14ac:dyDescent="0.3">
      <c r="A85" s="1">
        <v>42887</v>
      </c>
      <c r="B85">
        <v>241.97</v>
      </c>
      <c r="C85">
        <v>245.01</v>
      </c>
      <c r="D85">
        <v>239.96</v>
      </c>
      <c r="E85">
        <v>241.8</v>
      </c>
      <c r="F85">
        <v>209.67</v>
      </c>
      <c r="G85">
        <v>1572753000</v>
      </c>
      <c r="H85" s="3">
        <f t="shared" si="4"/>
        <v>1.480703095146918E-3</v>
      </c>
      <c r="I85" t="str">
        <f t="shared" si="3"/>
        <v>No</v>
      </c>
    </row>
    <row r="86" spans="1:9" x14ac:dyDescent="0.3">
      <c r="A86" s="1">
        <v>42917</v>
      </c>
      <c r="B86">
        <v>242.88</v>
      </c>
      <c r="C86">
        <v>248</v>
      </c>
      <c r="D86">
        <v>240.34</v>
      </c>
      <c r="E86">
        <v>246.77</v>
      </c>
      <c r="F86">
        <v>215.03</v>
      </c>
      <c r="G86">
        <v>1055908800</v>
      </c>
      <c r="H86" s="3">
        <f t="shared" si="4"/>
        <v>2.5563981494729937E-2</v>
      </c>
      <c r="I86" t="str">
        <f t="shared" si="3"/>
        <v>No</v>
      </c>
    </row>
    <row r="87" spans="1:9" x14ac:dyDescent="0.3">
      <c r="A87" s="1">
        <v>42948</v>
      </c>
      <c r="B87">
        <v>247.46</v>
      </c>
      <c r="C87">
        <v>248.91</v>
      </c>
      <c r="D87">
        <v>241.83</v>
      </c>
      <c r="E87">
        <v>247.49</v>
      </c>
      <c r="F87">
        <v>215.65</v>
      </c>
      <c r="G87">
        <v>1557031500</v>
      </c>
      <c r="H87" s="3">
        <f t="shared" si="4"/>
        <v>2.8833186067060979E-3</v>
      </c>
      <c r="I87" t="str">
        <f t="shared" si="3"/>
        <v>No</v>
      </c>
    </row>
    <row r="88" spans="1:9" x14ac:dyDescent="0.3">
      <c r="A88" s="1">
        <v>42979</v>
      </c>
      <c r="B88">
        <v>247.92</v>
      </c>
      <c r="C88">
        <v>251.32</v>
      </c>
      <c r="D88">
        <v>244.95</v>
      </c>
      <c r="E88">
        <v>251.23</v>
      </c>
      <c r="F88">
        <v>218.91</v>
      </c>
      <c r="G88">
        <v>1286405100</v>
      </c>
      <c r="H88" s="3">
        <f t="shared" si="4"/>
        <v>1.5117087873869561E-2</v>
      </c>
      <c r="I88" t="str">
        <f t="shared" si="3"/>
        <v>No</v>
      </c>
    </row>
    <row r="89" spans="1:9" x14ac:dyDescent="0.3">
      <c r="A89" s="1">
        <v>43009</v>
      </c>
      <c r="B89">
        <v>251.49</v>
      </c>
      <c r="C89">
        <v>257.89</v>
      </c>
      <c r="D89">
        <v>251.29</v>
      </c>
      <c r="E89">
        <v>257.14999999999998</v>
      </c>
      <c r="F89">
        <v>225.18</v>
      </c>
      <c r="G89">
        <v>1320624600</v>
      </c>
      <c r="H89" s="3">
        <f t="shared" si="4"/>
        <v>2.8641907633274011E-2</v>
      </c>
      <c r="I89" t="str">
        <f t="shared" si="3"/>
        <v>No</v>
      </c>
    </row>
    <row r="90" spans="1:9" x14ac:dyDescent="0.3">
      <c r="A90" s="1">
        <v>43040</v>
      </c>
      <c r="B90">
        <v>258.04000000000002</v>
      </c>
      <c r="C90">
        <v>266.05</v>
      </c>
      <c r="D90">
        <v>255.63</v>
      </c>
      <c r="E90">
        <v>265.01</v>
      </c>
      <c r="F90">
        <v>232.07</v>
      </c>
      <c r="G90">
        <v>1365620900</v>
      </c>
      <c r="H90" s="3">
        <f t="shared" si="4"/>
        <v>3.0597744027000662E-2</v>
      </c>
      <c r="I90" t="str">
        <f t="shared" si="3"/>
        <v>No</v>
      </c>
    </row>
    <row r="91" spans="1:9" x14ac:dyDescent="0.3">
      <c r="A91" s="1">
        <v>43070</v>
      </c>
      <c r="B91">
        <v>264.76</v>
      </c>
      <c r="C91">
        <v>268.60000000000002</v>
      </c>
      <c r="D91">
        <v>260.76</v>
      </c>
      <c r="E91">
        <v>266.86</v>
      </c>
      <c r="F91">
        <v>233.69</v>
      </c>
      <c r="G91">
        <v>1715222900</v>
      </c>
      <c r="H91" s="3">
        <f t="shared" si="4"/>
        <v>6.9806523893654049E-3</v>
      </c>
      <c r="I91" t="str">
        <f t="shared" si="3"/>
        <v>No</v>
      </c>
    </row>
    <row r="92" spans="1:9" x14ac:dyDescent="0.3">
      <c r="A92" s="1">
        <v>43101</v>
      </c>
      <c r="B92">
        <v>267.83999999999997</v>
      </c>
      <c r="C92">
        <v>286.63</v>
      </c>
      <c r="D92">
        <v>267.39999999999998</v>
      </c>
      <c r="E92">
        <v>281.89999999999998</v>
      </c>
      <c r="F92">
        <v>248.12</v>
      </c>
      <c r="G92">
        <v>1985506700</v>
      </c>
      <c r="H92" s="3">
        <f t="shared" si="4"/>
        <v>6.1748470195558181E-2</v>
      </c>
      <c r="I92" t="str">
        <f t="shared" si="3"/>
        <v>No</v>
      </c>
    </row>
    <row r="93" spans="1:9" x14ac:dyDescent="0.3">
      <c r="A93" s="1">
        <v>43132</v>
      </c>
      <c r="B93">
        <v>281.07</v>
      </c>
      <c r="C93">
        <v>283.06</v>
      </c>
      <c r="D93">
        <v>252.92</v>
      </c>
      <c r="E93">
        <v>271.64999999999998</v>
      </c>
      <c r="F93">
        <v>239.1</v>
      </c>
      <c r="G93">
        <v>2923722000</v>
      </c>
      <c r="H93" s="3">
        <f t="shared" si="4"/>
        <v>-3.6353377398033238E-2</v>
      </c>
      <c r="I93" t="str">
        <f t="shared" si="3"/>
        <v>No</v>
      </c>
    </row>
    <row r="94" spans="1:9" x14ac:dyDescent="0.3">
      <c r="A94" s="1">
        <v>43160</v>
      </c>
      <c r="B94">
        <v>271.41000000000003</v>
      </c>
      <c r="C94">
        <v>280.41000000000003</v>
      </c>
      <c r="D94">
        <v>257.83</v>
      </c>
      <c r="E94">
        <v>263.14999999999998</v>
      </c>
      <c r="F94">
        <v>231.62</v>
      </c>
      <c r="G94">
        <v>2323561800</v>
      </c>
      <c r="H94" s="3">
        <f t="shared" si="4"/>
        <v>-3.1283981597657884E-2</v>
      </c>
      <c r="I94" t="str">
        <f t="shared" si="3"/>
        <v>No</v>
      </c>
    </row>
    <row r="95" spans="1:9" x14ac:dyDescent="0.3">
      <c r="A95" s="1">
        <v>43191</v>
      </c>
      <c r="B95">
        <v>262.55</v>
      </c>
      <c r="C95">
        <v>271.3</v>
      </c>
      <c r="D95">
        <v>254.67</v>
      </c>
      <c r="E95">
        <v>264.51</v>
      </c>
      <c r="F95">
        <v>233.75</v>
      </c>
      <c r="G95">
        <v>1998466500</v>
      </c>
      <c r="H95" s="3">
        <f t="shared" si="4"/>
        <v>9.1960970555220456E-3</v>
      </c>
      <c r="I95" t="str">
        <f t="shared" si="3"/>
        <v>No</v>
      </c>
    </row>
    <row r="96" spans="1:9" x14ac:dyDescent="0.3">
      <c r="A96" s="1">
        <v>43221</v>
      </c>
      <c r="B96">
        <v>263.87</v>
      </c>
      <c r="C96">
        <v>274.25</v>
      </c>
      <c r="D96">
        <v>259.05</v>
      </c>
      <c r="E96">
        <v>270.94</v>
      </c>
      <c r="F96">
        <v>239.43</v>
      </c>
      <c r="G96">
        <v>1606397200</v>
      </c>
      <c r="H96" s="3">
        <f t="shared" si="4"/>
        <v>2.4299465240641638E-2</v>
      </c>
      <c r="I96" t="str">
        <f t="shared" si="3"/>
        <v>No</v>
      </c>
    </row>
    <row r="97" spans="1:9" x14ac:dyDescent="0.3">
      <c r="A97" s="1">
        <v>43252</v>
      </c>
      <c r="B97">
        <v>272.41000000000003</v>
      </c>
      <c r="C97">
        <v>279.48</v>
      </c>
      <c r="D97">
        <v>268.49</v>
      </c>
      <c r="E97">
        <v>271.27999999999997</v>
      </c>
      <c r="F97">
        <v>239.73</v>
      </c>
      <c r="G97">
        <v>1599001000</v>
      </c>
      <c r="H97" s="3">
        <f t="shared" si="4"/>
        <v>1.2529758175665595E-3</v>
      </c>
      <c r="I97" t="str">
        <f t="shared" si="3"/>
        <v>No</v>
      </c>
    </row>
    <row r="98" spans="1:9" x14ac:dyDescent="0.3">
      <c r="A98" s="1">
        <v>43282</v>
      </c>
      <c r="B98">
        <v>269.51</v>
      </c>
      <c r="C98">
        <v>284.37</v>
      </c>
      <c r="D98">
        <v>269.24</v>
      </c>
      <c r="E98">
        <v>281.33</v>
      </c>
      <c r="F98">
        <v>249.73</v>
      </c>
      <c r="G98">
        <v>1266892500</v>
      </c>
      <c r="H98" s="3">
        <f t="shared" si="4"/>
        <v>4.1713594460434766E-2</v>
      </c>
      <c r="I98" t="str">
        <f t="shared" ref="I98:I129" si="5">IF(ISNUMBER(SEARCH("Dividend",B98)),"Yes","No")</f>
        <v>No</v>
      </c>
    </row>
    <row r="99" spans="1:9" x14ac:dyDescent="0.3">
      <c r="A99" s="1">
        <v>43313</v>
      </c>
      <c r="B99">
        <v>281.56</v>
      </c>
      <c r="C99">
        <v>291.74</v>
      </c>
      <c r="D99">
        <v>279.16000000000003</v>
      </c>
      <c r="E99">
        <v>290.31</v>
      </c>
      <c r="F99">
        <v>257.7</v>
      </c>
      <c r="G99">
        <v>1308443700</v>
      </c>
      <c r="H99" s="3">
        <f t="shared" si="4"/>
        <v>3.1914467625035137E-2</v>
      </c>
      <c r="I99" t="str">
        <f t="shared" si="5"/>
        <v>No</v>
      </c>
    </row>
    <row r="100" spans="1:9" x14ac:dyDescent="0.3">
      <c r="A100" s="1">
        <v>43344</v>
      </c>
      <c r="B100">
        <v>289.83999999999997</v>
      </c>
      <c r="C100">
        <v>293.94</v>
      </c>
      <c r="D100">
        <v>286.70999999999998</v>
      </c>
      <c r="E100">
        <v>290.72000000000003</v>
      </c>
      <c r="F100">
        <v>258.06</v>
      </c>
      <c r="G100">
        <v>1228103300</v>
      </c>
      <c r="H100" s="3">
        <f t="shared" si="4"/>
        <v>1.3969732246799094E-3</v>
      </c>
      <c r="I100" t="str">
        <f t="shared" si="5"/>
        <v>No</v>
      </c>
    </row>
    <row r="101" spans="1:9" x14ac:dyDescent="0.3">
      <c r="A101" s="1">
        <v>43374</v>
      </c>
      <c r="B101">
        <v>292.11</v>
      </c>
      <c r="C101">
        <v>293.20999999999998</v>
      </c>
      <c r="D101">
        <v>259.85000000000002</v>
      </c>
      <c r="E101">
        <v>270.63</v>
      </c>
      <c r="F101">
        <v>241.31</v>
      </c>
      <c r="G101">
        <v>3024345800</v>
      </c>
      <c r="H101" s="3">
        <f t="shared" si="4"/>
        <v>-6.4907385879252932E-2</v>
      </c>
      <c r="I101" t="str">
        <f t="shared" si="5"/>
        <v>No</v>
      </c>
    </row>
    <row r="102" spans="1:9" x14ac:dyDescent="0.3">
      <c r="A102" s="1">
        <v>43405</v>
      </c>
      <c r="B102">
        <v>271.60000000000002</v>
      </c>
      <c r="C102">
        <v>281.22000000000003</v>
      </c>
      <c r="D102">
        <v>263.07</v>
      </c>
      <c r="E102">
        <v>275.64999999999998</v>
      </c>
      <c r="F102">
        <v>245.79</v>
      </c>
      <c r="G102">
        <v>2021061200</v>
      </c>
      <c r="H102" s="3">
        <f t="shared" si="4"/>
        <v>1.856533090215895E-2</v>
      </c>
      <c r="I102" t="str">
        <f t="shared" si="5"/>
        <v>No</v>
      </c>
    </row>
    <row r="103" spans="1:9" x14ac:dyDescent="0.3">
      <c r="A103" s="1">
        <v>43435</v>
      </c>
      <c r="B103">
        <v>280.27999999999997</v>
      </c>
      <c r="C103">
        <v>280.39999999999998</v>
      </c>
      <c r="D103">
        <v>233.76</v>
      </c>
      <c r="E103">
        <v>249.92</v>
      </c>
      <c r="F103">
        <v>222.85</v>
      </c>
      <c r="G103">
        <v>3102780500</v>
      </c>
      <c r="H103" s="3">
        <f t="shared" si="4"/>
        <v>-9.3331705927824582E-2</v>
      </c>
      <c r="I103" t="str">
        <f t="shared" si="5"/>
        <v>No</v>
      </c>
    </row>
    <row r="104" spans="1:9" x14ac:dyDescent="0.3">
      <c r="A104" s="1">
        <v>43466</v>
      </c>
      <c r="B104">
        <v>245.98</v>
      </c>
      <c r="C104">
        <v>270.47000000000003</v>
      </c>
      <c r="D104">
        <v>243.67</v>
      </c>
      <c r="E104">
        <v>269.93</v>
      </c>
      <c r="F104">
        <v>242.1</v>
      </c>
      <c r="G104">
        <v>2048691700</v>
      </c>
      <c r="H104" s="3">
        <f t="shared" si="4"/>
        <v>8.6380973749158541E-2</v>
      </c>
      <c r="I104" t="str">
        <f t="shared" si="5"/>
        <v>No</v>
      </c>
    </row>
    <row r="105" spans="1:9" x14ac:dyDescent="0.3">
      <c r="A105" s="1">
        <v>43497</v>
      </c>
      <c r="B105">
        <v>270.14999999999998</v>
      </c>
      <c r="C105">
        <v>281.31</v>
      </c>
      <c r="D105">
        <v>267.83</v>
      </c>
      <c r="E105">
        <v>278.68</v>
      </c>
      <c r="F105">
        <v>249.94</v>
      </c>
      <c r="G105">
        <v>1371716300</v>
      </c>
      <c r="H105" s="3">
        <f t="shared" si="4"/>
        <v>3.2383312680710485E-2</v>
      </c>
      <c r="I105" t="str">
        <f t="shared" si="5"/>
        <v>No</v>
      </c>
    </row>
    <row r="106" spans="1:9" x14ac:dyDescent="0.3">
      <c r="A106" s="1">
        <v>43525</v>
      </c>
      <c r="B106">
        <v>280.44</v>
      </c>
      <c r="C106">
        <v>285.18</v>
      </c>
      <c r="D106">
        <v>272.42</v>
      </c>
      <c r="E106">
        <v>282.48</v>
      </c>
      <c r="F106">
        <v>253.35</v>
      </c>
      <c r="G106">
        <v>1678081300</v>
      </c>
      <c r="H106" s="3">
        <f t="shared" si="4"/>
        <v>1.3643274385852555E-2</v>
      </c>
      <c r="I106" t="str">
        <f t="shared" si="5"/>
        <v>No</v>
      </c>
    </row>
    <row r="107" spans="1:9" x14ac:dyDescent="0.3">
      <c r="A107" s="1">
        <v>43556</v>
      </c>
      <c r="B107">
        <v>284.7</v>
      </c>
      <c r="C107">
        <v>294.45</v>
      </c>
      <c r="D107">
        <v>284.39999999999998</v>
      </c>
      <c r="E107">
        <v>294.02</v>
      </c>
      <c r="F107">
        <v>264.86</v>
      </c>
      <c r="G107">
        <v>1209204700</v>
      </c>
      <c r="H107" s="3">
        <f t="shared" si="4"/>
        <v>4.5431221630156005E-2</v>
      </c>
      <c r="I107" t="str">
        <f t="shared" si="5"/>
        <v>No</v>
      </c>
    </row>
    <row r="108" spans="1:9" x14ac:dyDescent="0.3">
      <c r="A108" s="1">
        <v>43586</v>
      </c>
      <c r="B108">
        <v>294.72000000000003</v>
      </c>
      <c r="C108">
        <v>294.95</v>
      </c>
      <c r="D108">
        <v>275.24</v>
      </c>
      <c r="E108">
        <v>275.27</v>
      </c>
      <c r="F108">
        <v>247.97</v>
      </c>
      <c r="G108">
        <v>1845593200</v>
      </c>
      <c r="H108" s="3">
        <f t="shared" si="4"/>
        <v>-6.376953862417889E-2</v>
      </c>
      <c r="I108" t="str">
        <f t="shared" si="5"/>
        <v>No</v>
      </c>
    </row>
    <row r="109" spans="1:9" x14ac:dyDescent="0.3">
      <c r="A109" s="1">
        <v>43617</v>
      </c>
      <c r="B109">
        <v>275.31</v>
      </c>
      <c r="C109">
        <v>296.31</v>
      </c>
      <c r="D109">
        <v>273.08999999999997</v>
      </c>
      <c r="E109">
        <v>293</v>
      </c>
      <c r="F109">
        <v>263.94</v>
      </c>
      <c r="G109">
        <v>1340435600</v>
      </c>
      <c r="H109" s="3">
        <f t="shared" si="4"/>
        <v>6.4402951969996458E-2</v>
      </c>
      <c r="I109" t="str">
        <f t="shared" si="5"/>
        <v>No</v>
      </c>
    </row>
    <row r="110" spans="1:9" x14ac:dyDescent="0.3">
      <c r="A110" s="1">
        <v>43647</v>
      </c>
      <c r="B110">
        <v>296.68</v>
      </c>
      <c r="C110">
        <v>302.23</v>
      </c>
      <c r="D110">
        <v>294.33</v>
      </c>
      <c r="E110">
        <v>297.43</v>
      </c>
      <c r="F110">
        <v>269.24</v>
      </c>
      <c r="G110">
        <v>1110102300</v>
      </c>
      <c r="H110" s="3">
        <f t="shared" si="4"/>
        <v>2.008032128514059E-2</v>
      </c>
      <c r="I110" t="str">
        <f t="shared" si="5"/>
        <v>No</v>
      </c>
    </row>
    <row r="111" spans="1:9" x14ac:dyDescent="0.3">
      <c r="A111" s="1">
        <v>43678</v>
      </c>
      <c r="B111">
        <v>297.60000000000002</v>
      </c>
      <c r="C111">
        <v>300.87</v>
      </c>
      <c r="D111">
        <v>281.72000000000003</v>
      </c>
      <c r="E111">
        <v>292.45</v>
      </c>
      <c r="F111">
        <v>264.73</v>
      </c>
      <c r="G111">
        <v>2034004800</v>
      </c>
      <c r="H111" s="3">
        <f t="shared" si="4"/>
        <v>-1.6750854256425418E-2</v>
      </c>
      <c r="I111" t="str">
        <f t="shared" si="5"/>
        <v>No</v>
      </c>
    </row>
    <row r="112" spans="1:9" x14ac:dyDescent="0.3">
      <c r="A112" s="1">
        <v>43709</v>
      </c>
      <c r="B112">
        <v>290.57</v>
      </c>
      <c r="C112">
        <v>302.63</v>
      </c>
      <c r="D112">
        <v>289.27</v>
      </c>
      <c r="E112">
        <v>296.77</v>
      </c>
      <c r="F112">
        <v>268.64</v>
      </c>
      <c r="G112">
        <v>1303830000</v>
      </c>
      <c r="H112" s="3">
        <f t="shared" si="4"/>
        <v>1.4769765421372538E-2</v>
      </c>
      <c r="I112" t="str">
        <f t="shared" si="5"/>
        <v>No</v>
      </c>
    </row>
    <row r="113" spans="1:9" x14ac:dyDescent="0.3">
      <c r="A113" s="1">
        <v>43739</v>
      </c>
      <c r="B113">
        <v>297.74</v>
      </c>
      <c r="C113">
        <v>304.55</v>
      </c>
      <c r="D113">
        <v>284.82</v>
      </c>
      <c r="E113">
        <v>303.33</v>
      </c>
      <c r="F113">
        <v>275.85000000000002</v>
      </c>
      <c r="G113">
        <v>1386748300</v>
      </c>
      <c r="H113" s="3">
        <f t="shared" si="4"/>
        <v>2.6838892197736941E-2</v>
      </c>
      <c r="I113" t="str">
        <f t="shared" si="5"/>
        <v>No</v>
      </c>
    </row>
    <row r="114" spans="1:9" x14ac:dyDescent="0.3">
      <c r="A114" s="1">
        <v>43770</v>
      </c>
      <c r="B114">
        <v>304.92</v>
      </c>
      <c r="C114">
        <v>315.48</v>
      </c>
      <c r="D114">
        <v>304.74</v>
      </c>
      <c r="E114">
        <v>314.31</v>
      </c>
      <c r="F114">
        <v>285.83</v>
      </c>
      <c r="G114">
        <v>1037123500</v>
      </c>
      <c r="H114" s="3">
        <f t="shared" si="4"/>
        <v>3.617908283487381E-2</v>
      </c>
      <c r="I114" t="str">
        <f t="shared" si="5"/>
        <v>No</v>
      </c>
    </row>
    <row r="115" spans="1:9" x14ac:dyDescent="0.3">
      <c r="A115" s="1">
        <v>43800</v>
      </c>
      <c r="B115">
        <v>314.58999999999997</v>
      </c>
      <c r="C115">
        <v>323.8</v>
      </c>
      <c r="D115">
        <v>307.13</v>
      </c>
      <c r="E115">
        <v>321.86</v>
      </c>
      <c r="F115">
        <v>292.7</v>
      </c>
      <c r="G115">
        <v>1285175800</v>
      </c>
      <c r="H115" s="3">
        <f t="shared" si="4"/>
        <v>2.4035265717384569E-2</v>
      </c>
      <c r="I115" t="str">
        <f t="shared" si="5"/>
        <v>No</v>
      </c>
    </row>
    <row r="116" spans="1:9" x14ac:dyDescent="0.3">
      <c r="A116" s="1">
        <v>43831</v>
      </c>
      <c r="B116">
        <v>323.54000000000002</v>
      </c>
      <c r="C116">
        <v>332.95</v>
      </c>
      <c r="D116">
        <v>320.36</v>
      </c>
      <c r="E116">
        <v>321.73</v>
      </c>
      <c r="F116">
        <v>294.02</v>
      </c>
      <c r="G116">
        <v>1392003800</v>
      </c>
      <c r="H116" s="3">
        <f t="shared" si="4"/>
        <v>4.5097369320121761E-3</v>
      </c>
      <c r="I116" t="str">
        <f t="shared" si="5"/>
        <v>No</v>
      </c>
    </row>
    <row r="117" spans="1:9" x14ac:dyDescent="0.3">
      <c r="A117" s="1">
        <v>43862</v>
      </c>
      <c r="B117">
        <v>323.35000000000002</v>
      </c>
      <c r="C117">
        <v>339.08</v>
      </c>
      <c r="D117">
        <v>285.54000000000002</v>
      </c>
      <c r="E117">
        <v>296.26</v>
      </c>
      <c r="F117">
        <v>270.74</v>
      </c>
      <c r="G117">
        <v>2110214900</v>
      </c>
      <c r="H117" s="3">
        <f t="shared" si="4"/>
        <v>-7.9178287191347452E-2</v>
      </c>
      <c r="I117" t="str">
        <f t="shared" si="5"/>
        <v>No</v>
      </c>
    </row>
    <row r="118" spans="1:9" x14ac:dyDescent="0.3">
      <c r="A118" s="1">
        <v>43891</v>
      </c>
      <c r="B118">
        <v>298.20999999999998</v>
      </c>
      <c r="C118">
        <v>313.83999999999997</v>
      </c>
      <c r="D118">
        <v>218.26</v>
      </c>
      <c r="E118">
        <v>257.75</v>
      </c>
      <c r="F118">
        <v>235.55</v>
      </c>
      <c r="G118">
        <v>5926017600</v>
      </c>
      <c r="H118" s="3">
        <f t="shared" si="4"/>
        <v>-0.12997709980054661</v>
      </c>
      <c r="I118" t="str">
        <f t="shared" si="5"/>
        <v>No</v>
      </c>
    </row>
    <row r="119" spans="1:9" x14ac:dyDescent="0.3">
      <c r="A119" s="1">
        <v>43922</v>
      </c>
      <c r="B119">
        <v>247.98</v>
      </c>
      <c r="C119">
        <v>294.88</v>
      </c>
      <c r="D119">
        <v>243.9</v>
      </c>
      <c r="E119">
        <v>290.48</v>
      </c>
      <c r="F119">
        <v>267.02</v>
      </c>
      <c r="G119">
        <v>2819312300</v>
      </c>
      <c r="H119" s="3">
        <f t="shared" si="4"/>
        <v>0.1336022075992358</v>
      </c>
      <c r="I119" t="str">
        <f t="shared" si="5"/>
        <v>No</v>
      </c>
    </row>
    <row r="120" spans="1:9" x14ac:dyDescent="0.3">
      <c r="A120" s="1">
        <v>43952</v>
      </c>
      <c r="B120">
        <v>285.31</v>
      </c>
      <c r="C120">
        <v>306.83999999999997</v>
      </c>
      <c r="D120">
        <v>272.99</v>
      </c>
      <c r="E120">
        <v>304.32</v>
      </c>
      <c r="F120">
        <v>279.74</v>
      </c>
      <c r="G120">
        <v>1910460500</v>
      </c>
      <c r="H120" s="3">
        <f t="shared" si="4"/>
        <v>4.7636881132499642E-2</v>
      </c>
      <c r="I120" t="str">
        <f t="shared" si="5"/>
        <v>No</v>
      </c>
    </row>
    <row r="121" spans="1:9" x14ac:dyDescent="0.3">
      <c r="A121" s="1">
        <v>43983</v>
      </c>
      <c r="B121">
        <v>303.62</v>
      </c>
      <c r="C121">
        <v>323.41000000000003</v>
      </c>
      <c r="D121">
        <v>296.74</v>
      </c>
      <c r="E121">
        <v>308.36</v>
      </c>
      <c r="F121">
        <v>283.45999999999998</v>
      </c>
      <c r="G121">
        <v>2358674500</v>
      </c>
      <c r="H121" s="3">
        <f t="shared" si="4"/>
        <v>1.3298062486594597E-2</v>
      </c>
      <c r="I121" t="str">
        <f t="shared" si="5"/>
        <v>No</v>
      </c>
    </row>
    <row r="122" spans="1:9" x14ac:dyDescent="0.3">
      <c r="A122" s="1">
        <v>44013</v>
      </c>
      <c r="B122">
        <v>309.57</v>
      </c>
      <c r="C122">
        <v>327.23</v>
      </c>
      <c r="D122">
        <v>309.07</v>
      </c>
      <c r="E122">
        <v>326.52</v>
      </c>
      <c r="F122">
        <v>301.47000000000003</v>
      </c>
      <c r="G122">
        <v>1505145300</v>
      </c>
      <c r="H122" s="3">
        <f t="shared" si="4"/>
        <v>6.3536301418189778E-2</v>
      </c>
      <c r="I122" t="str">
        <f t="shared" si="5"/>
        <v>No</v>
      </c>
    </row>
    <row r="123" spans="1:9" x14ac:dyDescent="0.3">
      <c r="A123" s="1">
        <v>44044</v>
      </c>
      <c r="B123">
        <v>328.32</v>
      </c>
      <c r="C123">
        <v>351.3</v>
      </c>
      <c r="D123">
        <v>327.73</v>
      </c>
      <c r="E123">
        <v>349.31</v>
      </c>
      <c r="F123">
        <v>322.51</v>
      </c>
      <c r="G123">
        <v>1045563300</v>
      </c>
      <c r="H123" s="3">
        <f t="shared" si="4"/>
        <v>6.9791355690449919E-2</v>
      </c>
      <c r="I123" t="str">
        <f t="shared" si="5"/>
        <v>No</v>
      </c>
    </row>
    <row r="124" spans="1:9" x14ac:dyDescent="0.3">
      <c r="A124" s="1">
        <v>44075</v>
      </c>
      <c r="B124">
        <v>350.21</v>
      </c>
      <c r="C124">
        <v>358.75</v>
      </c>
      <c r="D124">
        <v>319.8</v>
      </c>
      <c r="E124">
        <v>334.89</v>
      </c>
      <c r="F124">
        <v>309.2</v>
      </c>
      <c r="G124">
        <v>1814712700</v>
      </c>
      <c r="H124" s="3">
        <f t="shared" si="4"/>
        <v>-4.1270038138352283E-2</v>
      </c>
      <c r="I124" t="str">
        <f t="shared" si="5"/>
        <v>No</v>
      </c>
    </row>
    <row r="125" spans="1:9" x14ac:dyDescent="0.3">
      <c r="A125" s="1">
        <v>44105</v>
      </c>
      <c r="B125">
        <v>337.69</v>
      </c>
      <c r="C125">
        <v>354.02</v>
      </c>
      <c r="D125">
        <v>322.60000000000002</v>
      </c>
      <c r="E125">
        <v>326.54000000000002</v>
      </c>
      <c r="F125">
        <v>302.7</v>
      </c>
      <c r="G125">
        <v>1629016100</v>
      </c>
      <c r="H125" s="3">
        <f t="shared" si="4"/>
        <v>-2.1021992238033582E-2</v>
      </c>
      <c r="I125" t="str">
        <f t="shared" si="5"/>
        <v>No</v>
      </c>
    </row>
    <row r="126" spans="1:9" x14ac:dyDescent="0.3">
      <c r="A126" s="1">
        <v>44136</v>
      </c>
      <c r="B126">
        <v>330.2</v>
      </c>
      <c r="C126">
        <v>364.38</v>
      </c>
      <c r="D126">
        <v>327.24</v>
      </c>
      <c r="E126">
        <v>362.06</v>
      </c>
      <c r="F126">
        <v>335.62</v>
      </c>
      <c r="G126">
        <v>1535244300</v>
      </c>
      <c r="H126" s="3">
        <f t="shared" si="4"/>
        <v>0.10875454245127192</v>
      </c>
      <c r="I126" t="str">
        <f t="shared" si="5"/>
        <v>No</v>
      </c>
    </row>
    <row r="127" spans="1:9" x14ac:dyDescent="0.3">
      <c r="A127" s="1">
        <v>44166</v>
      </c>
      <c r="B127">
        <v>365.57</v>
      </c>
      <c r="C127">
        <v>378.46</v>
      </c>
      <c r="D127">
        <v>362.03</v>
      </c>
      <c r="E127">
        <v>373.88</v>
      </c>
      <c r="F127">
        <v>346.58</v>
      </c>
      <c r="G127">
        <v>1344541500</v>
      </c>
      <c r="H127" s="3">
        <f t="shared" si="4"/>
        <v>3.2655979977355365E-2</v>
      </c>
      <c r="I127" t="str">
        <f t="shared" si="5"/>
        <v>No</v>
      </c>
    </row>
    <row r="128" spans="1:9" x14ac:dyDescent="0.3">
      <c r="A128" s="1">
        <v>44197</v>
      </c>
      <c r="B128">
        <v>375.31</v>
      </c>
      <c r="C128">
        <v>385.85</v>
      </c>
      <c r="D128">
        <v>364.82</v>
      </c>
      <c r="E128">
        <v>370.07</v>
      </c>
      <c r="F128">
        <v>344.51</v>
      </c>
      <c r="G128">
        <v>1402265400</v>
      </c>
      <c r="H128" s="3">
        <f t="shared" si="4"/>
        <v>-5.9726470079057847E-3</v>
      </c>
      <c r="I128" t="str">
        <f t="shared" si="5"/>
        <v>No</v>
      </c>
    </row>
    <row r="129" spans="1:9" x14ac:dyDescent="0.3">
      <c r="A129" s="1">
        <v>44228</v>
      </c>
      <c r="B129">
        <v>373.72</v>
      </c>
      <c r="C129">
        <v>394.17</v>
      </c>
      <c r="D129">
        <v>370.38</v>
      </c>
      <c r="E129">
        <v>380.36</v>
      </c>
      <c r="F129">
        <v>354.09</v>
      </c>
      <c r="G129">
        <v>1307806200</v>
      </c>
      <c r="H129" s="3">
        <f t="shared" si="4"/>
        <v>2.7807610809555516E-2</v>
      </c>
      <c r="I129" t="str">
        <f t="shared" si="5"/>
        <v>No</v>
      </c>
    </row>
    <row r="130" spans="1:9" x14ac:dyDescent="0.3">
      <c r="A130" s="1">
        <v>44256</v>
      </c>
      <c r="B130">
        <v>385.59</v>
      </c>
      <c r="C130">
        <v>398.12</v>
      </c>
      <c r="D130">
        <v>371.88</v>
      </c>
      <c r="E130">
        <v>396.33</v>
      </c>
      <c r="F130">
        <v>368.96</v>
      </c>
      <c r="G130">
        <v>2401715800</v>
      </c>
      <c r="H130" s="3">
        <f t="shared" si="4"/>
        <v>4.1994973029455762E-2</v>
      </c>
      <c r="I130" t="str">
        <f t="shared" ref="I130:I161" si="6">IF(ISNUMBER(SEARCH("Dividend",B130)),"Yes","No")</f>
        <v>No</v>
      </c>
    </row>
    <row r="131" spans="1:9" x14ac:dyDescent="0.3">
      <c r="A131" s="1">
        <v>44287</v>
      </c>
      <c r="B131">
        <v>398.4</v>
      </c>
      <c r="C131">
        <v>420.72</v>
      </c>
      <c r="D131">
        <v>398.18</v>
      </c>
      <c r="E131">
        <v>417.3</v>
      </c>
      <c r="F131">
        <v>389.75</v>
      </c>
      <c r="G131">
        <v>1462106600</v>
      </c>
      <c r="H131" s="3">
        <f t="shared" si="4"/>
        <v>5.6347571552471942E-2</v>
      </c>
      <c r="I131" t="str">
        <f t="shared" si="6"/>
        <v>No</v>
      </c>
    </row>
    <row r="132" spans="1:9" x14ac:dyDescent="0.3">
      <c r="A132" s="1">
        <v>44317</v>
      </c>
      <c r="B132">
        <v>419.43</v>
      </c>
      <c r="C132">
        <v>422.82</v>
      </c>
      <c r="D132">
        <v>404</v>
      </c>
      <c r="E132">
        <v>420.04</v>
      </c>
      <c r="F132">
        <v>392.31</v>
      </c>
      <c r="G132">
        <v>1547235900</v>
      </c>
      <c r="H132" s="3">
        <f t="shared" ref="H132:H193" si="7">(F132/F131) -1</f>
        <v>6.568313021167338E-3</v>
      </c>
      <c r="I132" t="str">
        <f t="shared" si="6"/>
        <v>No</v>
      </c>
    </row>
    <row r="133" spans="1:9" x14ac:dyDescent="0.3">
      <c r="A133" s="1">
        <v>44348</v>
      </c>
      <c r="B133">
        <v>422.57</v>
      </c>
      <c r="C133">
        <v>428.78</v>
      </c>
      <c r="D133">
        <v>414.7</v>
      </c>
      <c r="E133">
        <v>428.06</v>
      </c>
      <c r="F133">
        <v>399.8</v>
      </c>
      <c r="G133">
        <v>1282152400</v>
      </c>
      <c r="H133" s="3">
        <f t="shared" si="7"/>
        <v>1.909204455660074E-2</v>
      </c>
      <c r="I133" t="str">
        <f t="shared" si="6"/>
        <v>No</v>
      </c>
    </row>
    <row r="134" spans="1:9" x14ac:dyDescent="0.3">
      <c r="A134" s="1">
        <v>44378</v>
      </c>
      <c r="B134">
        <v>428.87</v>
      </c>
      <c r="C134">
        <v>441.8</v>
      </c>
      <c r="D134">
        <v>421.97</v>
      </c>
      <c r="E134">
        <v>438.51</v>
      </c>
      <c r="F134">
        <v>410.9</v>
      </c>
      <c r="G134">
        <v>1422104700</v>
      </c>
      <c r="H134" s="3">
        <f t="shared" si="7"/>
        <v>2.7763881940970458E-2</v>
      </c>
      <c r="I134" t="str">
        <f t="shared" si="6"/>
        <v>No</v>
      </c>
    </row>
    <row r="135" spans="1:9" x14ac:dyDescent="0.3">
      <c r="A135" s="1">
        <v>44409</v>
      </c>
      <c r="B135">
        <v>440.34</v>
      </c>
      <c r="C135">
        <v>453.07</v>
      </c>
      <c r="D135">
        <v>436.1</v>
      </c>
      <c r="E135">
        <v>451.56</v>
      </c>
      <c r="F135">
        <v>423.13</v>
      </c>
      <c r="G135">
        <v>1254001400</v>
      </c>
      <c r="H135" s="3">
        <f t="shared" si="7"/>
        <v>2.9763932830372486E-2</v>
      </c>
      <c r="I135" t="str">
        <f t="shared" si="6"/>
        <v>No</v>
      </c>
    </row>
    <row r="136" spans="1:9" x14ac:dyDescent="0.3">
      <c r="A136" s="1">
        <v>44440</v>
      </c>
      <c r="B136">
        <v>452.56</v>
      </c>
      <c r="C136">
        <v>454.05</v>
      </c>
      <c r="D136">
        <v>428.78</v>
      </c>
      <c r="E136">
        <v>429.14</v>
      </c>
      <c r="F136">
        <v>402.12</v>
      </c>
      <c r="G136">
        <v>1745559600</v>
      </c>
      <c r="H136" s="3">
        <f t="shared" si="7"/>
        <v>-4.9653770708765643E-2</v>
      </c>
      <c r="I136" t="str">
        <f t="shared" si="6"/>
        <v>No</v>
      </c>
    </row>
    <row r="137" spans="1:9" x14ac:dyDescent="0.3">
      <c r="A137" s="1">
        <v>44470</v>
      </c>
      <c r="B137">
        <v>430.98</v>
      </c>
      <c r="C137">
        <v>459.56</v>
      </c>
      <c r="D137">
        <v>426.36</v>
      </c>
      <c r="E137">
        <v>459.25</v>
      </c>
      <c r="F137">
        <v>431.71</v>
      </c>
      <c r="G137">
        <v>1508665200</v>
      </c>
      <c r="H137" s="3">
        <f t="shared" si="7"/>
        <v>7.3584999502635862E-2</v>
      </c>
      <c r="I137" t="str">
        <f t="shared" si="6"/>
        <v>No</v>
      </c>
    </row>
    <row r="138" spans="1:9" x14ac:dyDescent="0.3">
      <c r="A138" s="1">
        <v>44501</v>
      </c>
      <c r="B138">
        <v>460.3</v>
      </c>
      <c r="C138">
        <v>473.54</v>
      </c>
      <c r="D138">
        <v>455.3</v>
      </c>
      <c r="E138">
        <v>455.56</v>
      </c>
      <c r="F138">
        <v>428.24</v>
      </c>
      <c r="G138">
        <v>1335351500</v>
      </c>
      <c r="H138" s="3">
        <f t="shared" si="7"/>
        <v>-8.0378031548955509E-3</v>
      </c>
      <c r="I138" t="str">
        <f t="shared" si="6"/>
        <v>No</v>
      </c>
    </row>
    <row r="139" spans="1:9" x14ac:dyDescent="0.3">
      <c r="A139" s="1">
        <v>44531</v>
      </c>
      <c r="B139">
        <v>461.64</v>
      </c>
      <c r="C139">
        <v>479</v>
      </c>
      <c r="D139">
        <v>448.92</v>
      </c>
      <c r="E139">
        <v>474.96</v>
      </c>
      <c r="F139">
        <v>446.48</v>
      </c>
      <c r="G139">
        <v>1927433900</v>
      </c>
      <c r="H139" s="3">
        <f t="shared" si="7"/>
        <v>4.2592938539137037E-2</v>
      </c>
      <c r="I139" t="str">
        <f t="shared" si="6"/>
        <v>No</v>
      </c>
    </row>
    <row r="140" spans="1:9" x14ac:dyDescent="0.3">
      <c r="A140" s="1">
        <v>44562</v>
      </c>
      <c r="B140">
        <v>476.3</v>
      </c>
      <c r="C140">
        <v>479.98</v>
      </c>
      <c r="D140">
        <v>420.76</v>
      </c>
      <c r="E140">
        <v>449.91</v>
      </c>
      <c r="F140">
        <v>424.42</v>
      </c>
      <c r="G140">
        <v>2485167800</v>
      </c>
      <c r="H140" s="3">
        <f t="shared" si="7"/>
        <v>-4.9408708116824962E-2</v>
      </c>
      <c r="I140" t="str">
        <f t="shared" si="6"/>
        <v>No</v>
      </c>
    </row>
    <row r="141" spans="1:9" x14ac:dyDescent="0.3">
      <c r="A141" s="1">
        <v>44593</v>
      </c>
      <c r="B141">
        <v>450.68</v>
      </c>
      <c r="C141">
        <v>458.12</v>
      </c>
      <c r="D141">
        <v>410.64</v>
      </c>
      <c r="E141">
        <v>436.63</v>
      </c>
      <c r="F141">
        <v>411.89</v>
      </c>
      <c r="G141">
        <v>2297975100</v>
      </c>
      <c r="H141" s="3">
        <f t="shared" si="7"/>
        <v>-2.9522642665284482E-2</v>
      </c>
      <c r="I141" t="str">
        <f t="shared" si="6"/>
        <v>No</v>
      </c>
    </row>
    <row r="142" spans="1:9" x14ac:dyDescent="0.3">
      <c r="A142" s="1">
        <v>44621</v>
      </c>
      <c r="B142">
        <v>435.04</v>
      </c>
      <c r="C142">
        <v>462.07</v>
      </c>
      <c r="D142">
        <v>415.12</v>
      </c>
      <c r="E142">
        <v>451.64</v>
      </c>
      <c r="F142">
        <v>426.05</v>
      </c>
      <c r="G142">
        <v>2380929500</v>
      </c>
      <c r="H142" s="3">
        <f t="shared" si="7"/>
        <v>3.4378110660613359E-2</v>
      </c>
      <c r="I142" t="str">
        <f t="shared" si="6"/>
        <v>No</v>
      </c>
    </row>
    <row r="143" spans="1:9" x14ac:dyDescent="0.3">
      <c r="A143" s="1">
        <v>44652</v>
      </c>
      <c r="B143">
        <v>453.31</v>
      </c>
      <c r="C143">
        <v>457.83</v>
      </c>
      <c r="D143">
        <v>411.21</v>
      </c>
      <c r="E143">
        <v>412</v>
      </c>
      <c r="F143">
        <v>389.86</v>
      </c>
      <c r="G143">
        <v>1856757400</v>
      </c>
      <c r="H143" s="3">
        <f t="shared" si="7"/>
        <v>-8.4943081797910991E-2</v>
      </c>
      <c r="I143" t="str">
        <f t="shared" si="6"/>
        <v>No</v>
      </c>
    </row>
    <row r="144" spans="1:9" x14ac:dyDescent="0.3">
      <c r="A144" s="1">
        <v>44682</v>
      </c>
      <c r="B144">
        <v>412.07</v>
      </c>
      <c r="C144">
        <v>429.66</v>
      </c>
      <c r="D144">
        <v>380.54</v>
      </c>
      <c r="E144">
        <v>412.93</v>
      </c>
      <c r="F144">
        <v>390.74</v>
      </c>
      <c r="G144">
        <v>2418478100</v>
      </c>
      <c r="H144" s="3">
        <f t="shared" si="7"/>
        <v>2.2572205407069834E-3</v>
      </c>
      <c r="I144" t="str">
        <f t="shared" si="6"/>
        <v>No</v>
      </c>
    </row>
    <row r="145" spans="1:9" x14ac:dyDescent="0.3">
      <c r="A145" s="1">
        <v>44713</v>
      </c>
      <c r="B145">
        <v>415.17</v>
      </c>
      <c r="C145">
        <v>417.44</v>
      </c>
      <c r="D145">
        <v>362.17</v>
      </c>
      <c r="E145">
        <v>377.25</v>
      </c>
      <c r="F145">
        <v>356.98</v>
      </c>
      <c r="G145">
        <v>1958611900</v>
      </c>
      <c r="H145" s="3">
        <f t="shared" si="7"/>
        <v>-8.6400163791779727E-2</v>
      </c>
      <c r="I145" t="str">
        <f t="shared" si="6"/>
        <v>No</v>
      </c>
    </row>
    <row r="146" spans="1:9" x14ac:dyDescent="0.3">
      <c r="A146" s="1">
        <v>44743</v>
      </c>
      <c r="B146">
        <v>376.56</v>
      </c>
      <c r="C146">
        <v>413.03</v>
      </c>
      <c r="D146">
        <v>371.04</v>
      </c>
      <c r="E146">
        <v>411.99</v>
      </c>
      <c r="F146">
        <v>391.54</v>
      </c>
      <c r="G146">
        <v>1437748400</v>
      </c>
      <c r="H146" s="3">
        <f t="shared" si="7"/>
        <v>9.6812146338730365E-2</v>
      </c>
      <c r="I146" t="str">
        <f t="shared" si="6"/>
        <v>No</v>
      </c>
    </row>
    <row r="147" spans="1:9" x14ac:dyDescent="0.3">
      <c r="A147" s="1">
        <v>44774</v>
      </c>
      <c r="B147">
        <v>409.15</v>
      </c>
      <c r="C147">
        <v>431.73</v>
      </c>
      <c r="D147">
        <v>395.04</v>
      </c>
      <c r="E147">
        <v>395.18</v>
      </c>
      <c r="F147">
        <v>375.56</v>
      </c>
      <c r="G147">
        <v>1443394400</v>
      </c>
      <c r="H147" s="3">
        <f t="shared" si="7"/>
        <v>-4.0813199162282321E-2</v>
      </c>
      <c r="I147" t="str">
        <f t="shared" si="6"/>
        <v>No</v>
      </c>
    </row>
    <row r="148" spans="1:9" x14ac:dyDescent="0.3">
      <c r="A148" s="1">
        <v>44805</v>
      </c>
      <c r="B148">
        <v>392.89</v>
      </c>
      <c r="C148">
        <v>411.73</v>
      </c>
      <c r="D148">
        <v>357.04</v>
      </c>
      <c r="E148">
        <v>357.18</v>
      </c>
      <c r="F148">
        <v>339.45</v>
      </c>
      <c r="G148">
        <v>1998908600</v>
      </c>
      <c r="H148" s="3">
        <f t="shared" si="7"/>
        <v>-9.6149749707104104E-2</v>
      </c>
      <c r="I148" t="str">
        <f t="shared" si="6"/>
        <v>No</v>
      </c>
    </row>
    <row r="149" spans="1:9" x14ac:dyDescent="0.3">
      <c r="A149" s="1">
        <v>44835</v>
      </c>
      <c r="B149">
        <v>361.08</v>
      </c>
      <c r="C149">
        <v>389.52</v>
      </c>
      <c r="D149">
        <v>348.11</v>
      </c>
      <c r="E149">
        <v>386.21</v>
      </c>
      <c r="F149">
        <v>368.55</v>
      </c>
      <c r="G149">
        <v>2024732000</v>
      </c>
      <c r="H149" s="3">
        <f t="shared" si="7"/>
        <v>8.5726911179849763E-2</v>
      </c>
      <c r="I149" t="str">
        <f t="shared" si="6"/>
        <v>No</v>
      </c>
    </row>
    <row r="150" spans="1:9" x14ac:dyDescent="0.3">
      <c r="A150" s="1">
        <v>44866</v>
      </c>
      <c r="B150">
        <v>390.14</v>
      </c>
      <c r="C150">
        <v>407.68</v>
      </c>
      <c r="D150">
        <v>368.79</v>
      </c>
      <c r="E150">
        <v>407.68</v>
      </c>
      <c r="F150">
        <v>389.03</v>
      </c>
      <c r="G150">
        <v>1745985300</v>
      </c>
      <c r="H150" s="3">
        <f t="shared" si="7"/>
        <v>5.5569122235788804E-2</v>
      </c>
      <c r="I150" t="str">
        <f t="shared" si="6"/>
        <v>No</v>
      </c>
    </row>
    <row r="151" spans="1:9" x14ac:dyDescent="0.3">
      <c r="A151" s="1">
        <v>44896</v>
      </c>
      <c r="B151">
        <v>408.77</v>
      </c>
      <c r="C151">
        <v>410.49</v>
      </c>
      <c r="D151">
        <v>374.77</v>
      </c>
      <c r="E151">
        <v>382.43</v>
      </c>
      <c r="F151">
        <v>364.94</v>
      </c>
      <c r="G151">
        <v>1735973600</v>
      </c>
      <c r="H151" s="3">
        <f t="shared" si="7"/>
        <v>-6.1923244993959292E-2</v>
      </c>
      <c r="I151" t="str">
        <f t="shared" si="6"/>
        <v>No</v>
      </c>
    </row>
    <row r="152" spans="1:9" x14ac:dyDescent="0.3">
      <c r="A152" s="1">
        <v>44927</v>
      </c>
      <c r="B152">
        <v>384.37</v>
      </c>
      <c r="C152">
        <v>408.16</v>
      </c>
      <c r="D152">
        <v>377.83</v>
      </c>
      <c r="E152">
        <v>406.48</v>
      </c>
      <c r="F152">
        <v>389.67</v>
      </c>
      <c r="G152">
        <v>1575450100</v>
      </c>
      <c r="H152" s="3">
        <f t="shared" si="7"/>
        <v>6.776456403792408E-2</v>
      </c>
      <c r="I152" t="str">
        <f t="shared" si="6"/>
        <v>No</v>
      </c>
    </row>
    <row r="153" spans="1:9" x14ac:dyDescent="0.3">
      <c r="A153" s="1">
        <v>44958</v>
      </c>
      <c r="B153">
        <v>405.21</v>
      </c>
      <c r="C153">
        <v>418.31</v>
      </c>
      <c r="D153">
        <v>393.64</v>
      </c>
      <c r="E153">
        <v>396.26</v>
      </c>
      <c r="F153">
        <v>379.87</v>
      </c>
      <c r="G153">
        <v>1603094700</v>
      </c>
      <c r="H153" s="3">
        <f t="shared" si="7"/>
        <v>-2.5149485462057641E-2</v>
      </c>
      <c r="I153" t="str">
        <f t="shared" si="6"/>
        <v>No</v>
      </c>
    </row>
    <row r="154" spans="1:9" x14ac:dyDescent="0.3">
      <c r="A154" s="1">
        <v>44986</v>
      </c>
      <c r="B154">
        <v>395.41</v>
      </c>
      <c r="C154">
        <v>409.7</v>
      </c>
      <c r="D154">
        <v>380.65</v>
      </c>
      <c r="E154">
        <v>409.39</v>
      </c>
      <c r="F154">
        <v>392.46</v>
      </c>
      <c r="G154">
        <v>2515995800</v>
      </c>
      <c r="H154" s="3">
        <f t="shared" si="7"/>
        <v>3.3142917313817799E-2</v>
      </c>
      <c r="I154" t="str">
        <f t="shared" si="6"/>
        <v>No</v>
      </c>
    </row>
    <row r="155" spans="1:9" x14ac:dyDescent="0.3">
      <c r="A155" s="1">
        <v>45017</v>
      </c>
      <c r="B155">
        <v>408.85</v>
      </c>
      <c r="C155">
        <v>415.94</v>
      </c>
      <c r="D155">
        <v>403.78</v>
      </c>
      <c r="E155">
        <v>415.93</v>
      </c>
      <c r="F155">
        <v>400.25</v>
      </c>
      <c r="G155">
        <v>1395780500</v>
      </c>
      <c r="H155" s="3">
        <f t="shared" si="7"/>
        <v>1.9849156601946749E-2</v>
      </c>
      <c r="I155" t="str">
        <f t="shared" si="6"/>
        <v>No</v>
      </c>
    </row>
    <row r="156" spans="1:9" x14ac:dyDescent="0.3">
      <c r="A156" s="1">
        <v>45047</v>
      </c>
      <c r="B156">
        <v>415.47</v>
      </c>
      <c r="C156">
        <v>422.58</v>
      </c>
      <c r="D156">
        <v>403.74</v>
      </c>
      <c r="E156">
        <v>417.85</v>
      </c>
      <c r="F156">
        <v>402.1</v>
      </c>
      <c r="G156">
        <v>1780909100</v>
      </c>
      <c r="H156" s="3">
        <f t="shared" si="7"/>
        <v>4.6221111805122561E-3</v>
      </c>
      <c r="I156" t="str">
        <f t="shared" si="6"/>
        <v>No</v>
      </c>
    </row>
    <row r="157" spans="1:9" x14ac:dyDescent="0.3">
      <c r="A157" s="1">
        <v>45078</v>
      </c>
      <c r="B157">
        <v>418.09</v>
      </c>
      <c r="C157">
        <v>444.3</v>
      </c>
      <c r="D157">
        <v>416.79</v>
      </c>
      <c r="E157">
        <v>443.28</v>
      </c>
      <c r="F157">
        <v>426.57</v>
      </c>
      <c r="G157">
        <v>1749901500</v>
      </c>
      <c r="H157" s="3">
        <f t="shared" si="7"/>
        <v>6.0855508579955142E-2</v>
      </c>
      <c r="I157" t="str">
        <f t="shared" si="6"/>
        <v>No</v>
      </c>
    </row>
    <row r="158" spans="1:9" x14ac:dyDescent="0.3">
      <c r="A158" s="1">
        <v>45108</v>
      </c>
      <c r="B158">
        <v>442.92</v>
      </c>
      <c r="C158">
        <v>459.44</v>
      </c>
      <c r="D158">
        <v>437.06</v>
      </c>
      <c r="E158">
        <v>457.79</v>
      </c>
      <c r="F158">
        <v>442.17</v>
      </c>
      <c r="G158">
        <v>1374698500</v>
      </c>
      <c r="H158" s="3">
        <f t="shared" si="7"/>
        <v>3.6570785568605491E-2</v>
      </c>
      <c r="I158" t="str">
        <f t="shared" si="6"/>
        <v>No</v>
      </c>
    </row>
    <row r="159" spans="1:9" x14ac:dyDescent="0.3">
      <c r="A159" s="1">
        <v>45139</v>
      </c>
      <c r="B159">
        <v>456.27</v>
      </c>
      <c r="C159">
        <v>457.25</v>
      </c>
      <c r="D159">
        <v>433.01</v>
      </c>
      <c r="E159">
        <v>450.35</v>
      </c>
      <c r="F159">
        <v>434.98</v>
      </c>
      <c r="G159">
        <v>1754892500</v>
      </c>
      <c r="H159" s="3">
        <f t="shared" si="7"/>
        <v>-1.6260714204943794E-2</v>
      </c>
      <c r="I159" t="str">
        <f t="shared" si="6"/>
        <v>No</v>
      </c>
    </row>
    <row r="160" spans="1:9" x14ac:dyDescent="0.3">
      <c r="A160" s="1">
        <v>45170</v>
      </c>
      <c r="B160">
        <v>453.17</v>
      </c>
      <c r="C160">
        <v>453.67</v>
      </c>
      <c r="D160">
        <v>422.29</v>
      </c>
      <c r="E160">
        <v>427.48</v>
      </c>
      <c r="F160">
        <v>412.89</v>
      </c>
      <c r="G160">
        <v>1588981600</v>
      </c>
      <c r="H160" s="3">
        <f t="shared" si="7"/>
        <v>-5.078394408938347E-2</v>
      </c>
      <c r="I160" t="str">
        <f t="shared" si="6"/>
        <v>No</v>
      </c>
    </row>
    <row r="161" spans="1:9" x14ac:dyDescent="0.3">
      <c r="A161" s="1">
        <v>45200</v>
      </c>
      <c r="B161">
        <v>426.62</v>
      </c>
      <c r="C161">
        <v>438.14</v>
      </c>
      <c r="D161">
        <v>409.21</v>
      </c>
      <c r="E161">
        <v>418.2</v>
      </c>
      <c r="F161">
        <v>405.36</v>
      </c>
      <c r="G161">
        <v>1999294400</v>
      </c>
      <c r="H161" s="3">
        <f t="shared" si="7"/>
        <v>-1.8237302913608922E-2</v>
      </c>
      <c r="I161" t="str">
        <f t="shared" si="6"/>
        <v>No</v>
      </c>
    </row>
    <row r="162" spans="1:9" x14ac:dyDescent="0.3">
      <c r="A162" s="1">
        <v>45231</v>
      </c>
      <c r="B162">
        <v>419.2</v>
      </c>
      <c r="C162">
        <v>458.32</v>
      </c>
      <c r="D162">
        <v>418.65</v>
      </c>
      <c r="E162">
        <v>456.4</v>
      </c>
      <c r="F162">
        <v>442.38</v>
      </c>
      <c r="G162">
        <v>1500017600</v>
      </c>
      <c r="H162" s="3">
        <f t="shared" si="7"/>
        <v>9.1326228537596199E-2</v>
      </c>
      <c r="I162" t="str">
        <f t="shared" ref="I162:I193" si="8">IF(ISNUMBER(SEARCH("Dividend",B162)),"Yes","No")</f>
        <v>No</v>
      </c>
    </row>
    <row r="163" spans="1:9" x14ac:dyDescent="0.3">
      <c r="A163" s="1">
        <v>45261</v>
      </c>
      <c r="B163">
        <v>455.77</v>
      </c>
      <c r="C163">
        <v>477.55</v>
      </c>
      <c r="D163">
        <v>454.31</v>
      </c>
      <c r="E163">
        <v>475.31</v>
      </c>
      <c r="F163">
        <v>460.71</v>
      </c>
      <c r="G163">
        <v>1643624300</v>
      </c>
      <c r="H163" s="3">
        <f t="shared" si="7"/>
        <v>4.1434965414349545E-2</v>
      </c>
      <c r="I163" t="str">
        <f t="shared" si="8"/>
        <v>No</v>
      </c>
    </row>
    <row r="164" spans="1:9" x14ac:dyDescent="0.3">
      <c r="A164" s="1">
        <v>45292</v>
      </c>
      <c r="B164">
        <v>472.16</v>
      </c>
      <c r="C164">
        <v>491.62</v>
      </c>
      <c r="D164">
        <v>466.43</v>
      </c>
      <c r="E164">
        <v>482.88</v>
      </c>
      <c r="F164">
        <v>469.95</v>
      </c>
      <c r="G164">
        <v>1700872500</v>
      </c>
      <c r="H164" s="3">
        <f t="shared" si="7"/>
        <v>2.0056000520935147E-2</v>
      </c>
      <c r="I164" t="str">
        <f t="shared" si="8"/>
        <v>No</v>
      </c>
    </row>
    <row r="165" spans="1:9" x14ac:dyDescent="0.3">
      <c r="A165" s="1">
        <v>45323</v>
      </c>
      <c r="B165">
        <v>484.63</v>
      </c>
      <c r="C165">
        <v>510.13</v>
      </c>
      <c r="D165">
        <v>483.8</v>
      </c>
      <c r="E165">
        <v>508.08</v>
      </c>
      <c r="F165">
        <v>494.47</v>
      </c>
      <c r="G165">
        <v>1393307200</v>
      </c>
      <c r="H165" s="3">
        <f t="shared" si="7"/>
        <v>5.2175763379082918E-2</v>
      </c>
      <c r="I165" t="str">
        <f t="shared" si="8"/>
        <v>No</v>
      </c>
    </row>
    <row r="166" spans="1:9" x14ac:dyDescent="0.3">
      <c r="A166" s="1">
        <v>45352</v>
      </c>
      <c r="B166">
        <v>508.98</v>
      </c>
      <c r="C166">
        <v>524.61</v>
      </c>
      <c r="D166">
        <v>504.91</v>
      </c>
      <c r="E166">
        <v>523.07000000000005</v>
      </c>
      <c r="F166">
        <v>509.06</v>
      </c>
      <c r="G166">
        <v>1473501100</v>
      </c>
      <c r="H166" s="3">
        <f t="shared" si="7"/>
        <v>2.9506340121746355E-2</v>
      </c>
      <c r="I166" t="str">
        <f t="shared" si="8"/>
        <v>No</v>
      </c>
    </row>
    <row r="167" spans="1:9" x14ac:dyDescent="0.3">
      <c r="A167" s="1">
        <v>45383</v>
      </c>
      <c r="B167">
        <v>523.83000000000004</v>
      </c>
      <c r="C167">
        <v>524.38</v>
      </c>
      <c r="D167">
        <v>493.86</v>
      </c>
      <c r="E167">
        <v>501.98</v>
      </c>
      <c r="F167">
        <v>490.05</v>
      </c>
      <c r="G167">
        <v>1593138700</v>
      </c>
      <c r="H167" s="3">
        <f t="shared" si="7"/>
        <v>-3.7343338702706896E-2</v>
      </c>
      <c r="I167" t="str">
        <f t="shared" si="8"/>
        <v>No</v>
      </c>
    </row>
    <row r="168" spans="1:9" x14ac:dyDescent="0.3">
      <c r="A168" s="1">
        <v>45413</v>
      </c>
      <c r="B168">
        <v>501.38</v>
      </c>
      <c r="C168">
        <v>533.07000000000005</v>
      </c>
      <c r="D168">
        <v>499.55</v>
      </c>
      <c r="E168">
        <v>527.37</v>
      </c>
      <c r="F168">
        <v>514.84</v>
      </c>
      <c r="G168">
        <v>1153206200</v>
      </c>
      <c r="H168" s="3">
        <f t="shared" si="7"/>
        <v>5.0586674829099065E-2</v>
      </c>
      <c r="I168" t="str">
        <f t="shared" si="8"/>
        <v>No</v>
      </c>
    </row>
    <row r="169" spans="1:9" x14ac:dyDescent="0.3">
      <c r="A169" s="1">
        <v>45444</v>
      </c>
      <c r="B169">
        <v>529.02</v>
      </c>
      <c r="C169">
        <v>550.28</v>
      </c>
      <c r="D169">
        <v>522.6</v>
      </c>
      <c r="E169">
        <v>544.22</v>
      </c>
      <c r="F169">
        <v>531.29</v>
      </c>
      <c r="G169">
        <v>888367600</v>
      </c>
      <c r="H169" s="3">
        <f t="shared" si="7"/>
        <v>3.1951674306580635E-2</v>
      </c>
      <c r="I169" t="str">
        <f t="shared" si="8"/>
        <v>No</v>
      </c>
    </row>
    <row r="170" spans="1:9" x14ac:dyDescent="0.3">
      <c r="A170" s="1">
        <v>45474</v>
      </c>
      <c r="B170">
        <v>545.63</v>
      </c>
      <c r="C170">
        <v>565.16</v>
      </c>
      <c r="D170">
        <v>537.45000000000005</v>
      </c>
      <c r="E170">
        <v>550.80999999999995</v>
      </c>
      <c r="F170">
        <v>539.46</v>
      </c>
      <c r="G170">
        <v>1038465500</v>
      </c>
      <c r="H170" s="3">
        <f t="shared" si="7"/>
        <v>1.5377665681642894E-2</v>
      </c>
      <c r="I170" t="str">
        <f t="shared" si="8"/>
        <v>No</v>
      </c>
    </row>
    <row r="171" spans="1:9" x14ac:dyDescent="0.3">
      <c r="A171" s="1">
        <v>45505</v>
      </c>
      <c r="B171">
        <v>552.57000000000005</v>
      </c>
      <c r="C171">
        <v>564.20000000000005</v>
      </c>
      <c r="D171">
        <v>510.27</v>
      </c>
      <c r="E171">
        <v>563.67999999999995</v>
      </c>
      <c r="F171">
        <v>552.05999999999995</v>
      </c>
      <c r="G171">
        <v>1244599000</v>
      </c>
      <c r="H171" s="3">
        <f t="shared" si="7"/>
        <v>2.3356690023356608E-2</v>
      </c>
      <c r="I171" t="str">
        <f t="shared" si="8"/>
        <v>No</v>
      </c>
    </row>
    <row r="172" spans="1:9" x14ac:dyDescent="0.3">
      <c r="A172" s="1">
        <v>45536</v>
      </c>
      <c r="B172">
        <v>558.35</v>
      </c>
      <c r="C172">
        <v>574.71</v>
      </c>
      <c r="D172">
        <v>539.44000000000005</v>
      </c>
      <c r="E172">
        <v>573.76</v>
      </c>
      <c r="F172">
        <v>561.94000000000005</v>
      </c>
      <c r="G172">
        <v>1044988300</v>
      </c>
      <c r="H172" s="3">
        <f t="shared" si="7"/>
        <v>1.7896605441437785E-2</v>
      </c>
      <c r="I172" t="str">
        <f t="shared" si="8"/>
        <v>No</v>
      </c>
    </row>
    <row r="173" spans="1:9" x14ac:dyDescent="0.3">
      <c r="A173" s="1">
        <v>45566</v>
      </c>
      <c r="B173">
        <v>573.4</v>
      </c>
      <c r="C173">
        <v>586.12</v>
      </c>
      <c r="D173">
        <v>565.27</v>
      </c>
      <c r="E173">
        <v>568.64</v>
      </c>
      <c r="F173">
        <v>558.63</v>
      </c>
      <c r="G173">
        <v>976068800</v>
      </c>
      <c r="H173" s="3">
        <f t="shared" si="7"/>
        <v>-5.8903085738691852E-3</v>
      </c>
      <c r="I173" t="str">
        <f t="shared" si="8"/>
        <v>No</v>
      </c>
    </row>
    <row r="174" spans="1:9" x14ac:dyDescent="0.3">
      <c r="A174" s="1">
        <v>45597</v>
      </c>
      <c r="B174">
        <v>571.32000000000005</v>
      </c>
      <c r="C174">
        <v>603.35</v>
      </c>
      <c r="D174">
        <v>567.89</v>
      </c>
      <c r="E174">
        <v>602.54999999999995</v>
      </c>
      <c r="F174">
        <v>591.94000000000005</v>
      </c>
      <c r="G174">
        <v>901760600</v>
      </c>
      <c r="H174" s="3">
        <f t="shared" si="7"/>
        <v>5.9628018545369921E-2</v>
      </c>
      <c r="I174" t="str">
        <f t="shared" si="8"/>
        <v>No</v>
      </c>
    </row>
    <row r="175" spans="1:9" x14ac:dyDescent="0.3">
      <c r="A175" s="1">
        <v>45627</v>
      </c>
      <c r="B175">
        <v>602.97</v>
      </c>
      <c r="C175">
        <v>609.07000000000005</v>
      </c>
      <c r="D175">
        <v>580.91</v>
      </c>
      <c r="E175">
        <v>586.08000000000004</v>
      </c>
      <c r="F175">
        <v>575.76</v>
      </c>
      <c r="G175">
        <v>1059516700</v>
      </c>
      <c r="H175" s="3">
        <f t="shared" si="7"/>
        <v>-2.7333851403858578E-2</v>
      </c>
      <c r="I175" t="str">
        <f t="shared" si="8"/>
        <v>No</v>
      </c>
    </row>
    <row r="176" spans="1:9" x14ac:dyDescent="0.3">
      <c r="A176" s="1">
        <v>45658</v>
      </c>
      <c r="B176">
        <v>589.39</v>
      </c>
      <c r="C176">
        <v>610.78</v>
      </c>
      <c r="D176">
        <v>575.35</v>
      </c>
      <c r="E176">
        <v>601.82000000000005</v>
      </c>
      <c r="F176">
        <v>593.21</v>
      </c>
      <c r="G176">
        <v>995501600</v>
      </c>
      <c r="H176" s="3">
        <f t="shared" si="7"/>
        <v>3.0307767125191232E-2</v>
      </c>
      <c r="I176" t="str">
        <f t="shared" si="8"/>
        <v>No</v>
      </c>
    </row>
    <row r="177" spans="1:9" x14ac:dyDescent="0.3">
      <c r="A177" s="1">
        <v>45689</v>
      </c>
      <c r="B177">
        <v>592.66999999999996</v>
      </c>
      <c r="C177">
        <v>613.23</v>
      </c>
      <c r="D177">
        <v>582.44000000000005</v>
      </c>
      <c r="E177">
        <v>594.17999999999995</v>
      </c>
      <c r="F177">
        <v>585.67999999999995</v>
      </c>
      <c r="G177">
        <v>871641300</v>
      </c>
      <c r="H177" s="3">
        <f t="shared" si="7"/>
        <v>-1.2693649803610985E-2</v>
      </c>
      <c r="I177" t="str">
        <f t="shared" si="8"/>
        <v>No</v>
      </c>
    </row>
    <row r="178" spans="1:9" x14ac:dyDescent="0.3">
      <c r="A178" s="1">
        <v>45717</v>
      </c>
      <c r="B178">
        <v>596.17999999999995</v>
      </c>
      <c r="C178">
        <v>597.34</v>
      </c>
      <c r="D178">
        <v>546.87</v>
      </c>
      <c r="E178">
        <v>559.39</v>
      </c>
      <c r="F178">
        <v>551.39</v>
      </c>
      <c r="G178">
        <v>1496591400</v>
      </c>
      <c r="H178" s="3">
        <f t="shared" si="7"/>
        <v>-5.8547329599781373E-2</v>
      </c>
      <c r="I178" t="str">
        <f t="shared" si="8"/>
        <v>No</v>
      </c>
    </row>
    <row r="179" spans="1:9" x14ac:dyDescent="0.3">
      <c r="A179" s="1">
        <v>45748</v>
      </c>
      <c r="B179">
        <v>557.45000000000005</v>
      </c>
      <c r="C179">
        <v>567.41999999999996</v>
      </c>
      <c r="D179">
        <v>481.8</v>
      </c>
      <c r="E179">
        <v>554.54</v>
      </c>
      <c r="F179">
        <v>548.26</v>
      </c>
      <c r="G179">
        <v>2237015100</v>
      </c>
      <c r="H179" s="3">
        <f t="shared" si="7"/>
        <v>-5.6765628683871361E-3</v>
      </c>
      <c r="I179" t="str">
        <f t="shared" si="8"/>
        <v>No</v>
      </c>
    </row>
    <row r="180" spans="1:9" x14ac:dyDescent="0.3">
      <c r="A180" s="1">
        <v>45778</v>
      </c>
      <c r="B180">
        <v>560.37</v>
      </c>
      <c r="C180">
        <v>595.54</v>
      </c>
      <c r="D180">
        <v>556.04</v>
      </c>
      <c r="E180">
        <v>589.39</v>
      </c>
      <c r="F180">
        <v>582.71</v>
      </c>
      <c r="G180">
        <v>1402172600</v>
      </c>
      <c r="H180" s="3">
        <f t="shared" si="7"/>
        <v>6.2835151205632434E-2</v>
      </c>
      <c r="I180" t="str">
        <f t="shared" si="8"/>
        <v>No</v>
      </c>
    </row>
    <row r="181" spans="1:9" x14ac:dyDescent="0.3">
      <c r="A181" s="1">
        <v>45809</v>
      </c>
      <c r="B181">
        <v>587.76</v>
      </c>
      <c r="C181">
        <v>619.22</v>
      </c>
      <c r="D181">
        <v>585.05999999999995</v>
      </c>
      <c r="E181">
        <v>617.85</v>
      </c>
      <c r="F181">
        <v>610.85</v>
      </c>
      <c r="G181">
        <v>1495410200</v>
      </c>
      <c r="H181" s="3">
        <f t="shared" si="7"/>
        <v>4.8291603027234897E-2</v>
      </c>
      <c r="I181" t="str">
        <f t="shared" si="8"/>
        <v>No</v>
      </c>
    </row>
    <row r="182" spans="1:9" x14ac:dyDescent="0.3">
      <c r="A182" s="1">
        <v>45839</v>
      </c>
      <c r="B182">
        <v>616.36</v>
      </c>
      <c r="C182">
        <v>639.85</v>
      </c>
      <c r="D182">
        <v>615.52</v>
      </c>
      <c r="E182">
        <v>632.08000000000004</v>
      </c>
      <c r="F182">
        <v>626.76</v>
      </c>
      <c r="G182">
        <v>1479850800</v>
      </c>
      <c r="H182" s="3">
        <f t="shared" si="7"/>
        <v>2.604567406073488E-2</v>
      </c>
      <c r="I182" t="str">
        <f t="shared" si="8"/>
        <v>No</v>
      </c>
    </row>
    <row r="183" spans="1:9" x14ac:dyDescent="0.3">
      <c r="A183" s="1">
        <v>45870</v>
      </c>
      <c r="B183">
        <v>626.29999999999995</v>
      </c>
      <c r="C183">
        <v>649.48</v>
      </c>
      <c r="D183">
        <v>619.29</v>
      </c>
      <c r="E183">
        <v>645.04999999999995</v>
      </c>
      <c r="F183">
        <v>639.62</v>
      </c>
      <c r="G183">
        <v>1424047400</v>
      </c>
      <c r="H183" s="3">
        <f t="shared" si="7"/>
        <v>2.0518220690535438E-2</v>
      </c>
      <c r="I183" t="str">
        <f t="shared" si="8"/>
        <v>No</v>
      </c>
    </row>
    <row r="184" spans="1:9" x14ac:dyDescent="0.3">
      <c r="A184" s="1">
        <v>45901</v>
      </c>
      <c r="B184">
        <v>637.5</v>
      </c>
      <c r="C184">
        <v>667.34</v>
      </c>
      <c r="D184">
        <v>634.91999999999996</v>
      </c>
      <c r="E184">
        <v>666.18</v>
      </c>
      <c r="F184">
        <v>660.58</v>
      </c>
      <c r="G184">
        <v>1606348500</v>
      </c>
      <c r="H184" s="3">
        <f t="shared" si="7"/>
        <v>3.2769456865013646E-2</v>
      </c>
      <c r="I184" t="str">
        <f t="shared" si="8"/>
        <v>No</v>
      </c>
    </row>
    <row r="185" spans="1:9" x14ac:dyDescent="0.3">
      <c r="A185" s="1">
        <v>45931</v>
      </c>
      <c r="B185">
        <v>663.17</v>
      </c>
      <c r="C185">
        <v>689.7</v>
      </c>
      <c r="D185">
        <v>652.84</v>
      </c>
      <c r="E185">
        <v>682.06</v>
      </c>
      <c r="F185">
        <v>678.2</v>
      </c>
      <c r="G185">
        <v>1781815100</v>
      </c>
      <c r="H185" s="3">
        <f t="shared" si="7"/>
        <v>2.6673529322716494E-2</v>
      </c>
      <c r="I185" t="str">
        <f t="shared" si="8"/>
        <v>No</v>
      </c>
    </row>
    <row r="186" spans="1:9" x14ac:dyDescent="0.3">
      <c r="A186" s="1">
        <v>45962</v>
      </c>
      <c r="B186">
        <v>685.67</v>
      </c>
      <c r="C186">
        <v>685.8</v>
      </c>
      <c r="D186">
        <v>650.85</v>
      </c>
      <c r="E186">
        <v>683.39</v>
      </c>
      <c r="F186">
        <v>679.52</v>
      </c>
      <c r="G186">
        <v>1664668300</v>
      </c>
      <c r="H186" s="3">
        <f t="shared" si="7"/>
        <v>1.9463285166616551E-3</v>
      </c>
      <c r="I186" t="str">
        <f t="shared" si="8"/>
        <v>No</v>
      </c>
    </row>
    <row r="187" spans="1:9" x14ac:dyDescent="0.3">
      <c r="A187" s="1">
        <v>45992</v>
      </c>
      <c r="B187">
        <v>678.81</v>
      </c>
      <c r="C187">
        <v>691.66</v>
      </c>
      <c r="D187">
        <v>671.2</v>
      </c>
      <c r="E187">
        <v>681.92</v>
      </c>
      <c r="F187">
        <v>678.06</v>
      </c>
      <c r="G187">
        <v>1656188700</v>
      </c>
      <c r="H187" s="3">
        <f t="shared" si="7"/>
        <v>-2.1485754650342193E-3</v>
      </c>
      <c r="I187" t="str">
        <f t="shared" si="8"/>
        <v>No</v>
      </c>
    </row>
    <row r="188" spans="1:9" x14ac:dyDescent="0.3">
      <c r="A188" s="1">
        <v>46023</v>
      </c>
      <c r="B188">
        <v>685.71</v>
      </c>
      <c r="C188">
        <v>697.84</v>
      </c>
      <c r="D188">
        <v>676.57</v>
      </c>
      <c r="E188">
        <v>691.97</v>
      </c>
      <c r="F188">
        <v>690.09</v>
      </c>
      <c r="G188">
        <v>1600537800</v>
      </c>
      <c r="H188" s="3">
        <f t="shared" si="7"/>
        <v>1.7741792761702735E-2</v>
      </c>
      <c r="I188" t="str">
        <f t="shared" si="8"/>
        <v>No</v>
      </c>
    </row>
    <row r="189" spans="1:9" x14ac:dyDescent="0.3">
      <c r="A189" s="1">
        <v>46054</v>
      </c>
      <c r="B189">
        <v>689.58</v>
      </c>
      <c r="C189">
        <v>697.14</v>
      </c>
      <c r="D189">
        <v>675.78</v>
      </c>
      <c r="E189">
        <v>685.99</v>
      </c>
      <c r="F189">
        <v>684.12</v>
      </c>
      <c r="G189">
        <v>1614970000</v>
      </c>
      <c r="H189" s="3">
        <f t="shared" si="7"/>
        <v>-8.6510455158023136E-3</v>
      </c>
      <c r="I189" t="str">
        <f t="shared" si="8"/>
        <v>No</v>
      </c>
    </row>
    <row r="190" spans="1:9" x14ac:dyDescent="0.3">
      <c r="A190" s="1">
        <v>46082</v>
      </c>
      <c r="B190">
        <v>678.7</v>
      </c>
      <c r="C190">
        <v>688.62</v>
      </c>
      <c r="D190">
        <v>629.28</v>
      </c>
      <c r="E190">
        <v>650.34</v>
      </c>
      <c r="F190">
        <v>648.57000000000005</v>
      </c>
      <c r="G190">
        <v>2237624600</v>
      </c>
      <c r="H190" s="3">
        <f t="shared" si="7"/>
        <v>-5.1964567619715796E-2</v>
      </c>
      <c r="I190" t="str">
        <f t="shared" si="8"/>
        <v>No</v>
      </c>
    </row>
    <row r="191" spans="1:9" x14ac:dyDescent="0.3">
      <c r="A191" s="1">
        <v>46113</v>
      </c>
      <c r="B191">
        <v>653.9</v>
      </c>
      <c r="C191">
        <v>719.79</v>
      </c>
      <c r="D191">
        <v>645.11</v>
      </c>
      <c r="E191">
        <v>718.66</v>
      </c>
      <c r="F191">
        <v>718.66</v>
      </c>
      <c r="G191">
        <v>1196537500</v>
      </c>
      <c r="H191" s="3">
        <f t="shared" si="7"/>
        <v>0.10806851997471356</v>
      </c>
      <c r="I191" t="str">
        <f t="shared" si="8"/>
        <v>No</v>
      </c>
    </row>
    <row r="192" spans="1:9" x14ac:dyDescent="0.3">
      <c r="A192" s="1">
        <v>46143</v>
      </c>
      <c r="B192">
        <v>721.25</v>
      </c>
      <c r="C192">
        <v>758.08</v>
      </c>
      <c r="D192">
        <v>714.99</v>
      </c>
      <c r="E192">
        <v>756.48</v>
      </c>
      <c r="F192">
        <v>756.48</v>
      </c>
      <c r="G192">
        <v>945132300</v>
      </c>
      <c r="H192" s="3">
        <f t="shared" si="7"/>
        <v>5.262572009016786E-2</v>
      </c>
      <c r="I192" t="str">
        <f t="shared" si="8"/>
        <v>No</v>
      </c>
    </row>
    <row r="193" spans="1:9" x14ac:dyDescent="0.3">
      <c r="A193" s="1">
        <v>46174</v>
      </c>
      <c r="B193">
        <v>755.36</v>
      </c>
      <c r="C193">
        <v>760.4</v>
      </c>
      <c r="D193">
        <v>722.59</v>
      </c>
      <c r="E193">
        <v>741.75</v>
      </c>
      <c r="F193">
        <v>741.75</v>
      </c>
      <c r="G193">
        <v>611145900</v>
      </c>
      <c r="H193" s="3">
        <f t="shared" si="7"/>
        <v>-1.9471763959390875E-2</v>
      </c>
      <c r="I193" t="str">
        <f t="shared" si="8"/>
        <v>No</v>
      </c>
    </row>
    <row r="196" spans="1:9" x14ac:dyDescent="0.3">
      <c r="G196" s="2" t="s">
        <v>35</v>
      </c>
      <c r="H196" s="2"/>
    </row>
    <row r="197" spans="1:9" x14ac:dyDescent="0.3">
      <c r="G197" s="2" t="s">
        <v>11</v>
      </c>
      <c r="H197" s="4">
        <f>AVERAGE(H3:H193)</f>
        <v>1.2392590076897017E-2</v>
      </c>
    </row>
    <row r="198" spans="1:9" x14ac:dyDescent="0.3">
      <c r="G198" s="2" t="s">
        <v>12</v>
      </c>
      <c r="H198" s="4">
        <f>STDEV(H3:H193)</f>
        <v>4.197371813806211E-2</v>
      </c>
    </row>
  </sheetData>
  <sortState xmlns:xlrd2="http://schemas.microsoft.com/office/spreadsheetml/2017/richdata2" ref="A2:I196">
    <sortCondition ref="A2:A19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EA2B4-674C-413D-A5BC-06562BD7DA24}">
  <dimension ref="A1:I198"/>
  <sheetViews>
    <sheetView workbookViewId="0">
      <pane ySplit="1" topLeftCell="A2" activePane="bottomLeft" state="frozen"/>
      <selection pane="bottomLeft" activeCell="G196" sqref="G196:I198"/>
    </sheetView>
  </sheetViews>
  <sheetFormatPr defaultRowHeight="14.4" x14ac:dyDescent="0.3"/>
  <cols>
    <col min="1" max="1" width="10.5546875" bestFit="1" customWidth="1"/>
    <col min="7" max="7" width="10" bestFit="1" customWidth="1"/>
  </cols>
  <sheetData>
    <row r="1" spans="1:9" s="2" customFormat="1" x14ac:dyDescent="0.3">
      <c r="A1" s="2" t="s">
        <v>0</v>
      </c>
      <c r="B1" s="2" t="s">
        <v>1</v>
      </c>
      <c r="C1" s="2" t="s">
        <v>2</v>
      </c>
      <c r="D1" s="2" t="s">
        <v>3</v>
      </c>
      <c r="E1" s="2" t="s">
        <v>4</v>
      </c>
      <c r="F1" s="2" t="s">
        <v>5</v>
      </c>
      <c r="G1" s="2" t="s">
        <v>6</v>
      </c>
      <c r="H1" s="2" t="s">
        <v>9</v>
      </c>
      <c r="I1" s="2" t="s">
        <v>10</v>
      </c>
    </row>
    <row r="2" spans="1:9" x14ac:dyDescent="0.3">
      <c r="A2" s="1">
        <v>40360</v>
      </c>
      <c r="B2">
        <v>81.260000000000005</v>
      </c>
      <c r="C2">
        <v>81.96</v>
      </c>
      <c r="D2">
        <v>80.92</v>
      </c>
      <c r="E2">
        <v>81.849999999999994</v>
      </c>
      <c r="F2">
        <v>51.22</v>
      </c>
      <c r="G2">
        <v>18792800</v>
      </c>
      <c r="H2" s="3"/>
      <c r="I2" t="str">
        <f>IF(ISNUMBER(SEARCH("Dividend",B2)),"Yes","No")</f>
        <v>No</v>
      </c>
    </row>
    <row r="3" spans="1:9" x14ac:dyDescent="0.3">
      <c r="A3" s="1">
        <v>40391</v>
      </c>
      <c r="B3">
        <v>81.61</v>
      </c>
      <c r="C3">
        <v>82.98</v>
      </c>
      <c r="D3">
        <v>81.510000000000005</v>
      </c>
      <c r="E3">
        <v>82.89</v>
      </c>
      <c r="F3">
        <v>52.01</v>
      </c>
      <c r="G3">
        <v>19117600</v>
      </c>
      <c r="H3" s="3">
        <f>(F3/F2)-1</f>
        <v>1.5423662631784518E-2</v>
      </c>
      <c r="I3" t="str">
        <f t="shared" ref="I3:I33" si="0">IF(ISNUMBER(SEARCH("Dividend",B3)),"Yes","No")</f>
        <v>No</v>
      </c>
    </row>
    <row r="4" spans="1:9" x14ac:dyDescent="0.3">
      <c r="A4" s="1">
        <v>40422</v>
      </c>
      <c r="B4">
        <v>82.58</v>
      </c>
      <c r="C4">
        <v>82.83</v>
      </c>
      <c r="D4">
        <v>81.72</v>
      </c>
      <c r="E4">
        <v>82.66</v>
      </c>
      <c r="F4">
        <v>52.02</v>
      </c>
      <c r="G4">
        <v>12817000</v>
      </c>
      <c r="H4" s="3">
        <f t="shared" ref="H4:H67" si="1">(F4/F3)-1</f>
        <v>1.9227071716976241E-4</v>
      </c>
      <c r="I4" t="str">
        <f t="shared" si="0"/>
        <v>No</v>
      </c>
    </row>
    <row r="5" spans="1:9" x14ac:dyDescent="0.3">
      <c r="A5" s="1">
        <v>40452</v>
      </c>
      <c r="B5">
        <v>82.39</v>
      </c>
      <c r="C5">
        <v>83.06</v>
      </c>
      <c r="D5">
        <v>82.22</v>
      </c>
      <c r="E5">
        <v>82.7</v>
      </c>
      <c r="F5">
        <v>52.19</v>
      </c>
      <c r="G5">
        <v>15738800</v>
      </c>
      <c r="H5" s="3">
        <f t="shared" si="1"/>
        <v>3.2679738562091387E-3</v>
      </c>
      <c r="I5" t="str">
        <f t="shared" si="0"/>
        <v>No</v>
      </c>
    </row>
    <row r="6" spans="1:9" x14ac:dyDescent="0.3">
      <c r="A6" s="1">
        <v>40483</v>
      </c>
      <c r="B6">
        <v>82.64</v>
      </c>
      <c r="C6">
        <v>83</v>
      </c>
      <c r="D6">
        <v>81.260000000000005</v>
      </c>
      <c r="E6">
        <v>81.91</v>
      </c>
      <c r="F6">
        <v>51.83</v>
      </c>
      <c r="G6">
        <v>16326800</v>
      </c>
      <c r="H6" s="3">
        <f t="shared" si="1"/>
        <v>-6.8978731557769457E-3</v>
      </c>
      <c r="I6" t="str">
        <f t="shared" si="0"/>
        <v>No</v>
      </c>
    </row>
    <row r="7" spans="1:9" x14ac:dyDescent="0.3">
      <c r="A7" s="1">
        <v>40513</v>
      </c>
      <c r="B7">
        <v>81.36</v>
      </c>
      <c r="C7">
        <v>81.52</v>
      </c>
      <c r="D7">
        <v>79.52</v>
      </c>
      <c r="E7">
        <v>80.27</v>
      </c>
      <c r="F7">
        <v>50.93</v>
      </c>
      <c r="G7">
        <v>18661200</v>
      </c>
      <c r="H7" s="3">
        <f t="shared" si="1"/>
        <v>-1.7364460737024912E-2</v>
      </c>
      <c r="I7" t="str">
        <f t="shared" si="0"/>
        <v>No</v>
      </c>
    </row>
    <row r="8" spans="1:9" x14ac:dyDescent="0.3">
      <c r="A8" s="1">
        <v>40544</v>
      </c>
      <c r="B8">
        <v>80.03</v>
      </c>
      <c r="C8">
        <v>80.540000000000006</v>
      </c>
      <c r="D8">
        <v>79.680000000000007</v>
      </c>
      <c r="E8">
        <v>80.34</v>
      </c>
      <c r="F8">
        <v>51.48</v>
      </c>
      <c r="G8">
        <v>17786000</v>
      </c>
      <c r="H8" s="3">
        <f t="shared" si="1"/>
        <v>1.0799136069114423E-2</v>
      </c>
      <c r="I8" t="str">
        <f t="shared" si="0"/>
        <v>No</v>
      </c>
    </row>
    <row r="9" spans="1:9" x14ac:dyDescent="0.3">
      <c r="A9" s="1">
        <v>40575</v>
      </c>
      <c r="B9">
        <v>79.989999999999995</v>
      </c>
      <c r="C9">
        <v>80.349999999999994</v>
      </c>
      <c r="D9">
        <v>79.02</v>
      </c>
      <c r="E9">
        <v>80.349999999999994</v>
      </c>
      <c r="F9">
        <v>51.49</v>
      </c>
      <c r="G9">
        <v>17407800</v>
      </c>
      <c r="H9" s="3">
        <f t="shared" si="1"/>
        <v>1.9425019425023393E-4</v>
      </c>
      <c r="I9" t="str">
        <f t="shared" si="0"/>
        <v>No</v>
      </c>
    </row>
    <row r="10" spans="1:9" x14ac:dyDescent="0.3">
      <c r="A10" s="1">
        <v>40603</v>
      </c>
      <c r="B10">
        <v>79.92</v>
      </c>
      <c r="C10">
        <v>81.16</v>
      </c>
      <c r="D10">
        <v>79.58</v>
      </c>
      <c r="E10">
        <v>80.02</v>
      </c>
      <c r="F10">
        <v>51.42</v>
      </c>
      <c r="G10">
        <v>16171800</v>
      </c>
      <c r="H10" s="3">
        <f t="shared" si="1"/>
        <v>-1.3594872790833046E-3</v>
      </c>
      <c r="I10" t="str">
        <f t="shared" si="0"/>
        <v>No</v>
      </c>
    </row>
    <row r="11" spans="1:9" x14ac:dyDescent="0.3">
      <c r="A11" s="1">
        <v>40634</v>
      </c>
      <c r="B11">
        <v>79.69</v>
      </c>
      <c r="C11">
        <v>80.989999999999995</v>
      </c>
      <c r="D11">
        <v>79.540000000000006</v>
      </c>
      <c r="E11">
        <v>80.959999999999994</v>
      </c>
      <c r="F11">
        <v>52.17</v>
      </c>
      <c r="G11">
        <v>13854600</v>
      </c>
      <c r="H11" s="3">
        <f t="shared" si="1"/>
        <v>1.4585764294049008E-2</v>
      </c>
      <c r="I11" t="str">
        <f t="shared" si="0"/>
        <v>No</v>
      </c>
    </row>
    <row r="12" spans="1:9" x14ac:dyDescent="0.3">
      <c r="A12" s="1">
        <v>40664</v>
      </c>
      <c r="B12">
        <v>80.86</v>
      </c>
      <c r="C12">
        <v>81.75</v>
      </c>
      <c r="D12">
        <v>80.69</v>
      </c>
      <c r="E12">
        <v>81.69</v>
      </c>
      <c r="F12">
        <v>52.79</v>
      </c>
      <c r="G12">
        <v>16679100</v>
      </c>
      <c r="H12" s="3">
        <f t="shared" si="1"/>
        <v>1.1884224650182018E-2</v>
      </c>
      <c r="I12" t="str">
        <f t="shared" si="0"/>
        <v>No</v>
      </c>
    </row>
    <row r="13" spans="1:9" x14ac:dyDescent="0.3">
      <c r="A13" s="1">
        <v>40695</v>
      </c>
      <c r="B13">
        <v>81.63</v>
      </c>
      <c r="C13">
        <v>82.14</v>
      </c>
      <c r="D13">
        <v>81.010000000000005</v>
      </c>
      <c r="E13">
        <v>81.16</v>
      </c>
      <c r="F13">
        <v>52.59</v>
      </c>
      <c r="G13">
        <v>22211600</v>
      </c>
      <c r="H13" s="3">
        <f t="shared" si="1"/>
        <v>-3.7885963250614552E-3</v>
      </c>
      <c r="I13" t="str">
        <f t="shared" si="0"/>
        <v>No</v>
      </c>
    </row>
    <row r="14" spans="1:9" x14ac:dyDescent="0.3">
      <c r="A14" s="1">
        <v>40725</v>
      </c>
      <c r="B14">
        <v>81.040000000000006</v>
      </c>
      <c r="C14">
        <v>82.29</v>
      </c>
      <c r="D14">
        <v>80.88</v>
      </c>
      <c r="E14">
        <v>82.26</v>
      </c>
      <c r="F14">
        <v>53.45</v>
      </c>
      <c r="G14">
        <v>18741500</v>
      </c>
      <c r="H14" s="3">
        <f t="shared" si="1"/>
        <v>1.6352918805856653E-2</v>
      </c>
      <c r="I14" t="str">
        <f t="shared" si="0"/>
        <v>No</v>
      </c>
    </row>
    <row r="15" spans="1:9" x14ac:dyDescent="0.3">
      <c r="A15" s="1">
        <v>40756</v>
      </c>
      <c r="B15">
        <v>82.05</v>
      </c>
      <c r="C15">
        <v>84.25</v>
      </c>
      <c r="D15">
        <v>82.02</v>
      </c>
      <c r="E15">
        <v>83.4</v>
      </c>
      <c r="F15">
        <v>54.33</v>
      </c>
      <c r="G15">
        <v>39035000</v>
      </c>
      <c r="H15" s="3">
        <f t="shared" si="1"/>
        <v>1.6463985032740824E-2</v>
      </c>
      <c r="I15" t="str">
        <f t="shared" si="0"/>
        <v>No</v>
      </c>
    </row>
    <row r="16" spans="1:9" x14ac:dyDescent="0.3">
      <c r="A16" s="1">
        <v>40787</v>
      </c>
      <c r="B16">
        <v>83.32</v>
      </c>
      <c r="C16">
        <v>84.58</v>
      </c>
      <c r="D16">
        <v>83.05</v>
      </c>
      <c r="E16">
        <v>83.74</v>
      </c>
      <c r="F16">
        <v>54.7</v>
      </c>
      <c r="G16">
        <v>27045300</v>
      </c>
      <c r="H16" s="3">
        <f t="shared" si="1"/>
        <v>6.8102337566722237E-3</v>
      </c>
      <c r="I16" t="str">
        <f t="shared" si="0"/>
        <v>No</v>
      </c>
    </row>
    <row r="17" spans="1:9" x14ac:dyDescent="0.3">
      <c r="A17" s="1">
        <v>40817</v>
      </c>
      <c r="B17">
        <v>83.7</v>
      </c>
      <c r="C17">
        <v>84.05</v>
      </c>
      <c r="D17">
        <v>82.72</v>
      </c>
      <c r="E17">
        <v>83.62</v>
      </c>
      <c r="F17">
        <v>54.76</v>
      </c>
      <c r="G17">
        <v>35970000</v>
      </c>
      <c r="H17" s="3">
        <f t="shared" si="1"/>
        <v>1.096892138939598E-3</v>
      </c>
      <c r="I17" t="str">
        <f t="shared" si="0"/>
        <v>No</v>
      </c>
    </row>
    <row r="18" spans="1:9" x14ac:dyDescent="0.3">
      <c r="A18" s="1">
        <v>40848</v>
      </c>
      <c r="B18">
        <v>83.8</v>
      </c>
      <c r="C18">
        <v>84.11</v>
      </c>
      <c r="D18">
        <v>83.15</v>
      </c>
      <c r="E18">
        <v>83.36</v>
      </c>
      <c r="F18">
        <v>54.73</v>
      </c>
      <c r="G18">
        <v>32152700</v>
      </c>
      <c r="H18" s="3">
        <f t="shared" si="1"/>
        <v>-5.4784514243977345E-4</v>
      </c>
      <c r="I18" t="str">
        <f t="shared" si="0"/>
        <v>No</v>
      </c>
    </row>
    <row r="19" spans="1:9" x14ac:dyDescent="0.3">
      <c r="A19" s="1">
        <v>40878</v>
      </c>
      <c r="B19">
        <v>83.1</v>
      </c>
      <c r="C19">
        <v>84.2</v>
      </c>
      <c r="D19">
        <v>82.83</v>
      </c>
      <c r="E19">
        <v>83.54</v>
      </c>
      <c r="F19">
        <v>54.99</v>
      </c>
      <c r="G19">
        <v>30913600</v>
      </c>
      <c r="H19" s="3">
        <f t="shared" si="1"/>
        <v>4.7505938242280443E-3</v>
      </c>
      <c r="I19" t="str">
        <f t="shared" si="0"/>
        <v>No</v>
      </c>
    </row>
    <row r="20" spans="1:9" x14ac:dyDescent="0.3">
      <c r="A20" s="1">
        <v>40909</v>
      </c>
      <c r="B20">
        <v>83.43</v>
      </c>
      <c r="C20">
        <v>84.14</v>
      </c>
      <c r="D20">
        <v>83.18</v>
      </c>
      <c r="E20">
        <v>84.07</v>
      </c>
      <c r="F20">
        <v>55.87</v>
      </c>
      <c r="G20">
        <v>30348200</v>
      </c>
      <c r="H20" s="3">
        <f t="shared" si="1"/>
        <v>1.6002909619930783E-2</v>
      </c>
      <c r="I20" t="str">
        <f t="shared" si="0"/>
        <v>No</v>
      </c>
    </row>
    <row r="21" spans="1:9" x14ac:dyDescent="0.3">
      <c r="A21" s="1">
        <v>40940</v>
      </c>
      <c r="B21">
        <v>83.85</v>
      </c>
      <c r="C21">
        <v>84.09</v>
      </c>
      <c r="D21">
        <v>83.42</v>
      </c>
      <c r="E21">
        <v>83.9</v>
      </c>
      <c r="F21">
        <v>55.76</v>
      </c>
      <c r="G21">
        <v>27683900</v>
      </c>
      <c r="H21" s="3">
        <f t="shared" si="1"/>
        <v>-1.9688562734919701E-3</v>
      </c>
      <c r="I21" t="str">
        <f t="shared" si="0"/>
        <v>No</v>
      </c>
    </row>
    <row r="22" spans="1:9" x14ac:dyDescent="0.3">
      <c r="A22" s="1">
        <v>40969</v>
      </c>
      <c r="B22">
        <v>83.49</v>
      </c>
      <c r="C22">
        <v>83.8</v>
      </c>
      <c r="D22">
        <v>82.59</v>
      </c>
      <c r="E22">
        <v>83.28</v>
      </c>
      <c r="F22">
        <v>55.48</v>
      </c>
      <c r="G22">
        <v>24292100</v>
      </c>
      <c r="H22" s="3">
        <f t="shared" si="1"/>
        <v>-5.0215208034433134E-3</v>
      </c>
      <c r="I22" t="str">
        <f t="shared" si="0"/>
        <v>No</v>
      </c>
    </row>
    <row r="23" spans="1:9" x14ac:dyDescent="0.3">
      <c r="A23" s="1">
        <v>41000</v>
      </c>
      <c r="B23">
        <v>83.05</v>
      </c>
      <c r="C23">
        <v>83.94</v>
      </c>
      <c r="D23">
        <v>82.65</v>
      </c>
      <c r="E23">
        <v>83.92</v>
      </c>
      <c r="F23">
        <v>56.04</v>
      </c>
      <c r="G23">
        <v>20942700</v>
      </c>
      <c r="H23" s="3">
        <f t="shared" si="1"/>
        <v>1.0093727469358438E-2</v>
      </c>
      <c r="I23" t="str">
        <f t="shared" si="0"/>
        <v>No</v>
      </c>
    </row>
    <row r="24" spans="1:9" x14ac:dyDescent="0.3">
      <c r="A24" s="1">
        <v>41030</v>
      </c>
      <c r="B24">
        <v>83.82</v>
      </c>
      <c r="C24">
        <v>84.64</v>
      </c>
      <c r="D24">
        <v>83.58</v>
      </c>
      <c r="E24">
        <v>84.51</v>
      </c>
      <c r="F24">
        <v>56.62</v>
      </c>
      <c r="G24">
        <v>27779400</v>
      </c>
      <c r="H24" s="3">
        <f t="shared" si="1"/>
        <v>1.0349750178443973E-2</v>
      </c>
      <c r="I24" t="str">
        <f t="shared" si="0"/>
        <v>No</v>
      </c>
    </row>
    <row r="25" spans="1:9" x14ac:dyDescent="0.3">
      <c r="A25" s="1">
        <v>41061</v>
      </c>
      <c r="B25">
        <v>84.6</v>
      </c>
      <c r="C25">
        <v>84.67</v>
      </c>
      <c r="D25">
        <v>84.01</v>
      </c>
      <c r="E25">
        <v>84.38</v>
      </c>
      <c r="F25">
        <v>56.66</v>
      </c>
      <c r="G25">
        <v>30153800</v>
      </c>
      <c r="H25" s="3">
        <f t="shared" si="1"/>
        <v>7.0646414694452986E-4</v>
      </c>
      <c r="I25" t="str">
        <f t="shared" si="0"/>
        <v>No</v>
      </c>
    </row>
    <row r="26" spans="1:9" x14ac:dyDescent="0.3">
      <c r="A26" s="1">
        <v>41091</v>
      </c>
      <c r="B26">
        <v>84.26</v>
      </c>
      <c r="C26">
        <v>85.36</v>
      </c>
      <c r="D26">
        <v>84.23</v>
      </c>
      <c r="E26">
        <v>85.23</v>
      </c>
      <c r="F26">
        <v>57.36</v>
      </c>
      <c r="G26">
        <v>22433200</v>
      </c>
      <c r="H26" s="3">
        <f t="shared" si="1"/>
        <v>1.2354394634662924E-2</v>
      </c>
      <c r="I26" t="str">
        <f t="shared" si="0"/>
        <v>No</v>
      </c>
    </row>
    <row r="27" spans="1:9" x14ac:dyDescent="0.3">
      <c r="A27" s="1">
        <v>41122</v>
      </c>
      <c r="B27">
        <v>85.01</v>
      </c>
      <c r="C27">
        <v>85.21</v>
      </c>
      <c r="D27">
        <v>84</v>
      </c>
      <c r="E27">
        <v>85.18</v>
      </c>
      <c r="F27">
        <v>57.45</v>
      </c>
      <c r="G27">
        <v>27288900</v>
      </c>
      <c r="H27" s="3">
        <f t="shared" si="1"/>
        <v>1.569037656903749E-3</v>
      </c>
      <c r="I27" t="str">
        <f t="shared" si="0"/>
        <v>No</v>
      </c>
    </row>
    <row r="28" spans="1:9" x14ac:dyDescent="0.3">
      <c r="A28" s="1">
        <v>41153</v>
      </c>
      <c r="B28">
        <v>84.95</v>
      </c>
      <c r="C28">
        <v>85.19</v>
      </c>
      <c r="D28">
        <v>84.26</v>
      </c>
      <c r="E28">
        <v>85.15</v>
      </c>
      <c r="F28">
        <v>57.56</v>
      </c>
      <c r="G28">
        <v>26808800</v>
      </c>
      <c r="H28" s="3">
        <f t="shared" si="1"/>
        <v>1.9147084421236027E-3</v>
      </c>
      <c r="I28" t="str">
        <f t="shared" si="0"/>
        <v>No</v>
      </c>
    </row>
    <row r="29" spans="1:9" x14ac:dyDescent="0.3">
      <c r="A29" s="1">
        <v>41183</v>
      </c>
      <c r="B29">
        <v>84.95</v>
      </c>
      <c r="C29">
        <v>85.08</v>
      </c>
      <c r="D29">
        <v>84.48</v>
      </c>
      <c r="E29">
        <v>84.89</v>
      </c>
      <c r="F29">
        <v>57.51</v>
      </c>
      <c r="G29">
        <v>24977100</v>
      </c>
      <c r="H29" s="3">
        <f t="shared" si="1"/>
        <v>-8.6865879082709263E-4</v>
      </c>
      <c r="I29" t="str">
        <f t="shared" si="0"/>
        <v>No</v>
      </c>
    </row>
    <row r="30" spans="1:9" x14ac:dyDescent="0.3">
      <c r="A30" s="1">
        <v>41214</v>
      </c>
      <c r="B30">
        <v>84.73</v>
      </c>
      <c r="C30">
        <v>85.1</v>
      </c>
      <c r="D30">
        <v>84.58</v>
      </c>
      <c r="E30">
        <v>84.94</v>
      </c>
      <c r="F30">
        <v>57.66</v>
      </c>
      <c r="G30">
        <v>23247800</v>
      </c>
      <c r="H30" s="3">
        <f t="shared" si="1"/>
        <v>2.6082420448616528E-3</v>
      </c>
      <c r="I30" t="str">
        <f t="shared" si="0"/>
        <v>No</v>
      </c>
    </row>
    <row r="31" spans="1:9" x14ac:dyDescent="0.3">
      <c r="A31" s="1">
        <v>41244</v>
      </c>
      <c r="B31">
        <v>84.7</v>
      </c>
      <c r="C31">
        <v>85.04</v>
      </c>
      <c r="D31">
        <v>83.89</v>
      </c>
      <c r="E31">
        <v>84.03</v>
      </c>
      <c r="F31">
        <v>57.04</v>
      </c>
      <c r="G31">
        <v>29653700</v>
      </c>
      <c r="H31" s="3">
        <f t="shared" si="1"/>
        <v>-1.0752688172043001E-2</v>
      </c>
      <c r="I31" t="str">
        <f t="shared" si="0"/>
        <v>No</v>
      </c>
    </row>
    <row r="32" spans="1:9" x14ac:dyDescent="0.3">
      <c r="A32" s="1">
        <v>41275</v>
      </c>
      <c r="B32">
        <v>83.78</v>
      </c>
      <c r="C32">
        <v>84.02</v>
      </c>
      <c r="D32">
        <v>83.25</v>
      </c>
      <c r="E32">
        <v>83.45</v>
      </c>
      <c r="F32">
        <v>56.76</v>
      </c>
      <c r="G32">
        <v>29578400</v>
      </c>
      <c r="H32" s="3">
        <f t="shared" si="1"/>
        <v>-4.908835904628317E-3</v>
      </c>
      <c r="I32" t="str">
        <f t="shared" si="0"/>
        <v>No</v>
      </c>
    </row>
    <row r="33" spans="1:9" x14ac:dyDescent="0.3">
      <c r="A33" s="1">
        <v>41306</v>
      </c>
      <c r="B33">
        <v>83.44</v>
      </c>
      <c r="C33">
        <v>83.8</v>
      </c>
      <c r="D33">
        <v>83.05</v>
      </c>
      <c r="E33">
        <v>83.73</v>
      </c>
      <c r="F33">
        <v>56.95</v>
      </c>
      <c r="G33">
        <v>25419600</v>
      </c>
      <c r="H33" s="3">
        <f t="shared" si="1"/>
        <v>3.3474277660325846E-3</v>
      </c>
      <c r="I33" t="str">
        <f t="shared" si="0"/>
        <v>No</v>
      </c>
    </row>
    <row r="34" spans="1:9" x14ac:dyDescent="0.3">
      <c r="A34" s="1">
        <v>41334</v>
      </c>
      <c r="B34">
        <v>83.62</v>
      </c>
      <c r="C34">
        <v>83.67</v>
      </c>
      <c r="D34">
        <v>82.9</v>
      </c>
      <c r="E34">
        <v>83.64</v>
      </c>
      <c r="F34">
        <v>57</v>
      </c>
      <c r="G34">
        <v>27311700</v>
      </c>
      <c r="H34" s="3">
        <f t="shared" si="1"/>
        <v>8.7796312554866418E-4</v>
      </c>
      <c r="I34" t="str">
        <f t="shared" ref="I34:I65" si="2">IF(ISNUMBER(SEARCH("Dividend",B34)),"Yes","No")</f>
        <v>No</v>
      </c>
    </row>
    <row r="35" spans="1:9" x14ac:dyDescent="0.3">
      <c r="A35" s="1">
        <v>41365</v>
      </c>
      <c r="B35">
        <v>83.28</v>
      </c>
      <c r="C35">
        <v>84.25</v>
      </c>
      <c r="D35">
        <v>83.28</v>
      </c>
      <c r="E35">
        <v>84.18</v>
      </c>
      <c r="F35">
        <v>57.47</v>
      </c>
      <c r="G35">
        <v>22783300</v>
      </c>
      <c r="H35" s="3">
        <f t="shared" si="1"/>
        <v>8.2456140350877227E-3</v>
      </c>
      <c r="I35" t="str">
        <f t="shared" si="2"/>
        <v>No</v>
      </c>
    </row>
    <row r="36" spans="1:9" x14ac:dyDescent="0.3">
      <c r="A36" s="1">
        <v>41395</v>
      </c>
      <c r="B36">
        <v>84.1</v>
      </c>
      <c r="C36">
        <v>84.19</v>
      </c>
      <c r="D36">
        <v>82.19</v>
      </c>
      <c r="E36">
        <v>82.4</v>
      </c>
      <c r="F36">
        <v>56.47</v>
      </c>
      <c r="G36">
        <v>24522300</v>
      </c>
      <c r="H36" s="3">
        <f t="shared" si="1"/>
        <v>-1.7400382808421822E-2</v>
      </c>
      <c r="I36" t="str">
        <f t="shared" si="2"/>
        <v>No</v>
      </c>
    </row>
    <row r="37" spans="1:9" x14ac:dyDescent="0.3">
      <c r="A37" s="1">
        <v>41426</v>
      </c>
      <c r="B37">
        <v>82.1</v>
      </c>
      <c r="C37">
        <v>82.4</v>
      </c>
      <c r="D37">
        <v>79.790000000000006</v>
      </c>
      <c r="E37">
        <v>80.88</v>
      </c>
      <c r="F37">
        <v>55.53</v>
      </c>
      <c r="G37">
        <v>35923100</v>
      </c>
      <c r="H37" s="3">
        <f t="shared" si="1"/>
        <v>-1.6646006729236773E-2</v>
      </c>
      <c r="I37" t="str">
        <f t="shared" si="2"/>
        <v>No</v>
      </c>
    </row>
    <row r="38" spans="1:9" x14ac:dyDescent="0.3">
      <c r="A38" s="1">
        <v>41456</v>
      </c>
      <c r="B38">
        <v>80.66</v>
      </c>
      <c r="C38">
        <v>81.290000000000006</v>
      </c>
      <c r="D38">
        <v>79.88</v>
      </c>
      <c r="E38">
        <v>81.02</v>
      </c>
      <c r="F38">
        <v>55.74</v>
      </c>
      <c r="G38">
        <v>31657200</v>
      </c>
      <c r="H38" s="3">
        <f t="shared" si="1"/>
        <v>3.7817396002162162E-3</v>
      </c>
      <c r="I38" t="str">
        <f t="shared" si="2"/>
        <v>No</v>
      </c>
    </row>
    <row r="39" spans="1:9" x14ac:dyDescent="0.3">
      <c r="A39" s="1">
        <v>41487</v>
      </c>
      <c r="B39">
        <v>80.599999999999994</v>
      </c>
      <c r="C39">
        <v>81</v>
      </c>
      <c r="D39">
        <v>79.599999999999994</v>
      </c>
      <c r="E39">
        <v>80.16</v>
      </c>
      <c r="F39">
        <v>55.26</v>
      </c>
      <c r="G39">
        <v>20819700</v>
      </c>
      <c r="H39" s="3">
        <f t="shared" si="1"/>
        <v>-8.6114101184069369E-3</v>
      </c>
      <c r="I39" t="str">
        <f t="shared" si="2"/>
        <v>No</v>
      </c>
    </row>
    <row r="40" spans="1:9" x14ac:dyDescent="0.3">
      <c r="A40" s="1">
        <v>41518</v>
      </c>
      <c r="B40">
        <v>79.89</v>
      </c>
      <c r="C40">
        <v>80.95</v>
      </c>
      <c r="D40">
        <v>79.14</v>
      </c>
      <c r="E40">
        <v>80.88</v>
      </c>
      <c r="F40">
        <v>55.87</v>
      </c>
      <c r="G40">
        <v>19963500</v>
      </c>
      <c r="H40" s="3">
        <f t="shared" si="1"/>
        <v>1.1038726022439382E-2</v>
      </c>
      <c r="I40" t="str">
        <f t="shared" si="2"/>
        <v>No</v>
      </c>
    </row>
    <row r="41" spans="1:9" x14ac:dyDescent="0.3">
      <c r="A41" s="1">
        <v>41548</v>
      </c>
      <c r="B41">
        <v>80.650000000000006</v>
      </c>
      <c r="C41">
        <v>81.59</v>
      </c>
      <c r="D41">
        <v>80.47</v>
      </c>
      <c r="E41">
        <v>81.400000000000006</v>
      </c>
      <c r="F41">
        <v>56.35</v>
      </c>
      <c r="G41">
        <v>25314800</v>
      </c>
      <c r="H41" s="3">
        <f t="shared" si="1"/>
        <v>8.5913728297835057E-3</v>
      </c>
      <c r="I41" t="str">
        <f t="shared" si="2"/>
        <v>No</v>
      </c>
    </row>
    <row r="42" spans="1:9" x14ac:dyDescent="0.3">
      <c r="A42" s="1">
        <v>41579</v>
      </c>
      <c r="B42">
        <v>81.16</v>
      </c>
      <c r="C42">
        <v>81.19</v>
      </c>
      <c r="D42">
        <v>80.430000000000007</v>
      </c>
      <c r="E42">
        <v>80.98</v>
      </c>
      <c r="F42">
        <v>56.18</v>
      </c>
      <c r="G42">
        <v>28518500</v>
      </c>
      <c r="H42" s="3">
        <f t="shared" si="1"/>
        <v>-3.0168589174800475E-3</v>
      </c>
      <c r="I42" t="str">
        <f t="shared" si="2"/>
        <v>No</v>
      </c>
    </row>
    <row r="43" spans="1:9" x14ac:dyDescent="0.3">
      <c r="A43" s="1">
        <v>41609</v>
      </c>
      <c r="B43">
        <v>80.66</v>
      </c>
      <c r="C43">
        <v>80.739999999999995</v>
      </c>
      <c r="D43">
        <v>79.900000000000006</v>
      </c>
      <c r="E43">
        <v>80.05</v>
      </c>
      <c r="F43">
        <v>55.66</v>
      </c>
      <c r="G43">
        <v>35331500</v>
      </c>
      <c r="H43" s="3">
        <f t="shared" si="1"/>
        <v>-9.2559629761481688E-3</v>
      </c>
      <c r="I43" t="str">
        <f t="shared" si="2"/>
        <v>No</v>
      </c>
    </row>
    <row r="44" spans="1:9" x14ac:dyDescent="0.3">
      <c r="A44" s="1">
        <v>41640</v>
      </c>
      <c r="B44">
        <v>80.099999999999994</v>
      </c>
      <c r="C44">
        <v>81.33</v>
      </c>
      <c r="D44">
        <v>80.040000000000006</v>
      </c>
      <c r="E44">
        <v>81.290000000000006</v>
      </c>
      <c r="F44">
        <v>56.81</v>
      </c>
      <c r="G44">
        <v>45342900</v>
      </c>
      <c r="H44" s="3">
        <f t="shared" si="1"/>
        <v>2.0661157024793431E-2</v>
      </c>
      <c r="I44" t="str">
        <f t="shared" si="2"/>
        <v>No</v>
      </c>
    </row>
    <row r="45" spans="1:9" x14ac:dyDescent="0.3">
      <c r="A45" s="1">
        <v>41671</v>
      </c>
      <c r="B45">
        <v>81.12</v>
      </c>
      <c r="C45">
        <v>81.56</v>
      </c>
      <c r="D45">
        <v>80.8</v>
      </c>
      <c r="E45">
        <v>81.5</v>
      </c>
      <c r="F45">
        <v>56.96</v>
      </c>
      <c r="G45">
        <v>43163600</v>
      </c>
      <c r="H45" s="3">
        <f t="shared" si="1"/>
        <v>2.6403802147509925E-3</v>
      </c>
      <c r="I45" t="str">
        <f t="shared" si="2"/>
        <v>No</v>
      </c>
    </row>
    <row r="46" spans="1:9" x14ac:dyDescent="0.3">
      <c r="A46" s="1">
        <v>41699</v>
      </c>
      <c r="B46">
        <v>81.44</v>
      </c>
      <c r="C46">
        <v>81.53</v>
      </c>
      <c r="D46">
        <v>80.81</v>
      </c>
      <c r="E46">
        <v>81.19</v>
      </c>
      <c r="F46">
        <v>56.86</v>
      </c>
      <c r="G46">
        <v>43697100</v>
      </c>
      <c r="H46" s="3">
        <f t="shared" si="1"/>
        <v>-1.7556179775281011E-3</v>
      </c>
      <c r="I46" t="str">
        <f t="shared" si="2"/>
        <v>No</v>
      </c>
    </row>
    <row r="47" spans="1:9" x14ac:dyDescent="0.3">
      <c r="A47" s="1">
        <v>41730</v>
      </c>
      <c r="B47">
        <v>80.94</v>
      </c>
      <c r="C47">
        <v>81.67</v>
      </c>
      <c r="D47">
        <v>80.709999999999994</v>
      </c>
      <c r="E47">
        <v>81.650000000000006</v>
      </c>
      <c r="F47">
        <v>57.31</v>
      </c>
      <c r="G47">
        <v>38381600</v>
      </c>
      <c r="H47" s="3">
        <f t="shared" si="1"/>
        <v>7.9141751670770422E-3</v>
      </c>
      <c r="I47" t="str">
        <f t="shared" si="2"/>
        <v>No</v>
      </c>
    </row>
    <row r="48" spans="1:9" x14ac:dyDescent="0.3">
      <c r="A48" s="1">
        <v>41760</v>
      </c>
      <c r="B48">
        <v>81.5</v>
      </c>
      <c r="C48">
        <v>82.6</v>
      </c>
      <c r="D48">
        <v>81.47</v>
      </c>
      <c r="E48">
        <v>82.33</v>
      </c>
      <c r="F48">
        <v>57.92</v>
      </c>
      <c r="G48">
        <v>26081200</v>
      </c>
      <c r="H48" s="3">
        <f t="shared" si="1"/>
        <v>1.0643866689932002E-2</v>
      </c>
      <c r="I48" t="str">
        <f t="shared" si="2"/>
        <v>No</v>
      </c>
    </row>
    <row r="49" spans="1:9" x14ac:dyDescent="0.3">
      <c r="A49" s="1">
        <v>41791</v>
      </c>
      <c r="B49">
        <v>82.06</v>
      </c>
      <c r="C49">
        <v>82.24</v>
      </c>
      <c r="D49">
        <v>81.599999999999994</v>
      </c>
      <c r="E49">
        <v>82.22</v>
      </c>
      <c r="F49">
        <v>57.97</v>
      </c>
      <c r="G49">
        <v>30022100</v>
      </c>
      <c r="H49" s="3">
        <f t="shared" si="1"/>
        <v>8.6325966850830937E-4</v>
      </c>
      <c r="I49" t="str">
        <f t="shared" si="2"/>
        <v>No</v>
      </c>
    </row>
    <row r="50" spans="1:9" x14ac:dyDescent="0.3">
      <c r="A50" s="1">
        <v>41821</v>
      </c>
      <c r="B50">
        <v>81.92</v>
      </c>
      <c r="C50">
        <v>82.29</v>
      </c>
      <c r="D50">
        <v>81.5</v>
      </c>
      <c r="E50">
        <v>81.819999999999993</v>
      </c>
      <c r="F50">
        <v>57.81</v>
      </c>
      <c r="G50">
        <v>29997000</v>
      </c>
      <c r="H50" s="3">
        <f t="shared" si="1"/>
        <v>-2.760048300845197E-3</v>
      </c>
      <c r="I50" t="str">
        <f t="shared" si="2"/>
        <v>No</v>
      </c>
    </row>
    <row r="51" spans="1:9" x14ac:dyDescent="0.3">
      <c r="A51" s="1">
        <v>41852</v>
      </c>
      <c r="B51">
        <v>81.78</v>
      </c>
      <c r="C51">
        <v>82.64</v>
      </c>
      <c r="D51">
        <v>81.66</v>
      </c>
      <c r="E51">
        <v>82.58</v>
      </c>
      <c r="F51">
        <v>58.47</v>
      </c>
      <c r="G51">
        <v>53751100</v>
      </c>
      <c r="H51" s="3">
        <f t="shared" si="1"/>
        <v>1.1416709911779899E-2</v>
      </c>
      <c r="I51" t="str">
        <f t="shared" si="2"/>
        <v>No</v>
      </c>
    </row>
    <row r="52" spans="1:9" x14ac:dyDescent="0.3">
      <c r="A52" s="1">
        <v>41883</v>
      </c>
      <c r="B52">
        <v>82.25</v>
      </c>
      <c r="C52">
        <v>82.26</v>
      </c>
      <c r="D52">
        <v>81.41</v>
      </c>
      <c r="E52">
        <v>81.93</v>
      </c>
      <c r="F52">
        <v>58.13</v>
      </c>
      <c r="G52">
        <v>56554000</v>
      </c>
      <c r="H52" s="3">
        <f t="shared" si="1"/>
        <v>-5.8149478364972751E-3</v>
      </c>
      <c r="I52" t="str">
        <f t="shared" si="2"/>
        <v>No</v>
      </c>
    </row>
    <row r="53" spans="1:9" x14ac:dyDescent="0.3">
      <c r="A53" s="1">
        <v>41913</v>
      </c>
      <c r="B53">
        <v>81.97</v>
      </c>
      <c r="C53">
        <v>84.07</v>
      </c>
      <c r="D53">
        <v>81.92</v>
      </c>
      <c r="E53">
        <v>82.36</v>
      </c>
      <c r="F53">
        <v>58.57</v>
      </c>
      <c r="G53">
        <v>71537200</v>
      </c>
      <c r="H53" s="3">
        <f t="shared" si="1"/>
        <v>7.5692413555823457E-3</v>
      </c>
      <c r="I53" t="str">
        <f t="shared" si="2"/>
        <v>No</v>
      </c>
    </row>
    <row r="54" spans="1:9" x14ac:dyDescent="0.3">
      <c r="A54" s="1">
        <v>41944</v>
      </c>
      <c r="B54">
        <v>82.2</v>
      </c>
      <c r="C54">
        <v>82.9</v>
      </c>
      <c r="D54">
        <v>82.01</v>
      </c>
      <c r="E54">
        <v>82.87</v>
      </c>
      <c r="F54">
        <v>59.04</v>
      </c>
      <c r="G54">
        <v>33373700</v>
      </c>
      <c r="H54" s="3">
        <f t="shared" si="1"/>
        <v>8.024585965511255E-3</v>
      </c>
      <c r="I54" t="str">
        <f t="shared" si="2"/>
        <v>No</v>
      </c>
    </row>
    <row r="55" spans="1:9" x14ac:dyDescent="0.3">
      <c r="A55" s="1">
        <v>41974</v>
      </c>
      <c r="B55">
        <v>82.81</v>
      </c>
      <c r="C55">
        <v>82.98</v>
      </c>
      <c r="D55">
        <v>81.849999999999994</v>
      </c>
      <c r="E55">
        <v>82.37</v>
      </c>
      <c r="F55">
        <v>58.81</v>
      </c>
      <c r="G55">
        <v>80151000</v>
      </c>
      <c r="H55" s="3">
        <f t="shared" si="1"/>
        <v>-3.895663956639539E-3</v>
      </c>
      <c r="I55" t="str">
        <f t="shared" si="2"/>
        <v>No</v>
      </c>
    </row>
    <row r="56" spans="1:9" x14ac:dyDescent="0.3">
      <c r="A56" s="1">
        <v>42005</v>
      </c>
      <c r="B56">
        <v>82.43</v>
      </c>
      <c r="C56">
        <v>84.35</v>
      </c>
      <c r="D56">
        <v>82.42</v>
      </c>
      <c r="E56">
        <v>84.35</v>
      </c>
      <c r="F56">
        <v>60.62</v>
      </c>
      <c r="G56">
        <v>71128400</v>
      </c>
      <c r="H56" s="3">
        <f t="shared" si="1"/>
        <v>3.0777078728107421E-2</v>
      </c>
      <c r="I56" t="str">
        <f t="shared" si="2"/>
        <v>No</v>
      </c>
    </row>
    <row r="57" spans="1:9" x14ac:dyDescent="0.3">
      <c r="A57" s="1">
        <v>42036</v>
      </c>
      <c r="B57">
        <v>83.95</v>
      </c>
      <c r="C57">
        <v>84.18</v>
      </c>
      <c r="D57">
        <v>82.44</v>
      </c>
      <c r="E57">
        <v>83.08</v>
      </c>
      <c r="F57">
        <v>59.71</v>
      </c>
      <c r="G57">
        <v>57846100</v>
      </c>
      <c r="H57" s="3">
        <f t="shared" si="1"/>
        <v>-1.5011547344110809E-2</v>
      </c>
      <c r="I57" t="str">
        <f t="shared" si="2"/>
        <v>No</v>
      </c>
    </row>
    <row r="58" spans="1:9" x14ac:dyDescent="0.3">
      <c r="A58" s="1">
        <v>42064</v>
      </c>
      <c r="B58">
        <v>82.96</v>
      </c>
      <c r="C58">
        <v>83.6</v>
      </c>
      <c r="D58">
        <v>82.03</v>
      </c>
      <c r="E58">
        <v>83.37</v>
      </c>
      <c r="F58">
        <v>60.04</v>
      </c>
      <c r="G58">
        <v>58961800</v>
      </c>
      <c r="H58" s="3">
        <f t="shared" si="1"/>
        <v>5.5267124434768E-3</v>
      </c>
      <c r="I58" t="str">
        <f t="shared" si="2"/>
        <v>No</v>
      </c>
    </row>
    <row r="59" spans="1:9" x14ac:dyDescent="0.3">
      <c r="A59" s="1">
        <v>42095</v>
      </c>
      <c r="B59">
        <v>83.37</v>
      </c>
      <c r="C59">
        <v>83.66</v>
      </c>
      <c r="D59">
        <v>82.57</v>
      </c>
      <c r="E59">
        <v>82.91</v>
      </c>
      <c r="F59">
        <v>59.83</v>
      </c>
      <c r="G59">
        <v>48720000</v>
      </c>
      <c r="H59" s="3">
        <f t="shared" si="1"/>
        <v>-3.4976682211859123E-3</v>
      </c>
      <c r="I59" t="str">
        <f t="shared" si="2"/>
        <v>No</v>
      </c>
    </row>
    <row r="60" spans="1:9" x14ac:dyDescent="0.3">
      <c r="A60" s="1">
        <v>42125</v>
      </c>
      <c r="B60">
        <v>82.56</v>
      </c>
      <c r="C60">
        <v>82.63</v>
      </c>
      <c r="D60">
        <v>81.75</v>
      </c>
      <c r="E60">
        <v>82.34</v>
      </c>
      <c r="F60">
        <v>59.55</v>
      </c>
      <c r="G60">
        <v>53288100</v>
      </c>
      <c r="H60" s="3">
        <f t="shared" si="1"/>
        <v>-4.6799264582985112E-3</v>
      </c>
      <c r="I60" t="str">
        <f t="shared" si="2"/>
        <v>No</v>
      </c>
    </row>
    <row r="61" spans="1:9" x14ac:dyDescent="0.3">
      <c r="A61" s="1">
        <v>42156</v>
      </c>
      <c r="B61">
        <v>82.19</v>
      </c>
      <c r="C61">
        <v>82.19</v>
      </c>
      <c r="D61">
        <v>80.83</v>
      </c>
      <c r="E61">
        <v>81.260000000000005</v>
      </c>
      <c r="F61">
        <v>58.88</v>
      </c>
      <c r="G61">
        <v>46263900</v>
      </c>
      <c r="H61" s="3">
        <f t="shared" si="1"/>
        <v>-1.1251049538203106E-2</v>
      </c>
      <c r="I61" t="str">
        <f t="shared" si="2"/>
        <v>No</v>
      </c>
    </row>
    <row r="62" spans="1:9" x14ac:dyDescent="0.3">
      <c r="A62" s="1">
        <v>42186</v>
      </c>
      <c r="B62">
        <v>80.87</v>
      </c>
      <c r="C62">
        <v>81.83</v>
      </c>
      <c r="D62">
        <v>80.83</v>
      </c>
      <c r="E62">
        <v>81.81</v>
      </c>
      <c r="F62">
        <v>59.4</v>
      </c>
      <c r="G62">
        <v>40358200</v>
      </c>
      <c r="H62" s="3">
        <f t="shared" si="1"/>
        <v>8.8315217391303769E-3</v>
      </c>
      <c r="I62" t="str">
        <f t="shared" si="2"/>
        <v>No</v>
      </c>
    </row>
    <row r="63" spans="1:9" x14ac:dyDescent="0.3">
      <c r="A63" s="1">
        <v>42217</v>
      </c>
      <c r="B63">
        <v>81.7</v>
      </c>
      <c r="C63">
        <v>82.43</v>
      </c>
      <c r="D63">
        <v>81.31</v>
      </c>
      <c r="E63">
        <v>81.44</v>
      </c>
      <c r="F63">
        <v>59.25</v>
      </c>
      <c r="G63">
        <v>44466300</v>
      </c>
      <c r="H63" s="3">
        <f t="shared" si="1"/>
        <v>-2.525252525252486E-3</v>
      </c>
      <c r="I63" t="str">
        <f t="shared" si="2"/>
        <v>No</v>
      </c>
    </row>
    <row r="64" spans="1:9" x14ac:dyDescent="0.3">
      <c r="A64" s="1">
        <v>42248</v>
      </c>
      <c r="B64">
        <v>81.39</v>
      </c>
      <c r="C64">
        <v>81.94</v>
      </c>
      <c r="D64">
        <v>81</v>
      </c>
      <c r="E64">
        <v>81.93</v>
      </c>
      <c r="F64">
        <v>59.73</v>
      </c>
      <c r="G64">
        <v>37313700</v>
      </c>
      <c r="H64" s="3">
        <f t="shared" si="1"/>
        <v>8.1012658227848089E-3</v>
      </c>
      <c r="I64" t="str">
        <f t="shared" si="2"/>
        <v>No</v>
      </c>
    </row>
    <row r="65" spans="1:9" x14ac:dyDescent="0.3">
      <c r="A65" s="1">
        <v>42278</v>
      </c>
      <c r="B65">
        <v>81.89</v>
      </c>
      <c r="C65">
        <v>82.34</v>
      </c>
      <c r="D65">
        <v>81.569999999999993</v>
      </c>
      <c r="E65">
        <v>81.790000000000006</v>
      </c>
      <c r="F65">
        <v>59.75</v>
      </c>
      <c r="G65">
        <v>33309800</v>
      </c>
      <c r="H65" s="3">
        <f t="shared" si="1"/>
        <v>3.3484011384565804E-4</v>
      </c>
      <c r="I65" t="str">
        <f t="shared" si="2"/>
        <v>No</v>
      </c>
    </row>
    <row r="66" spans="1:9" x14ac:dyDescent="0.3">
      <c r="A66" s="1">
        <v>42309</v>
      </c>
      <c r="B66">
        <v>81.44</v>
      </c>
      <c r="C66">
        <v>81.540000000000006</v>
      </c>
      <c r="D66">
        <v>80.75</v>
      </c>
      <c r="E66">
        <v>81.3</v>
      </c>
      <c r="F66">
        <v>59.51</v>
      </c>
      <c r="G66">
        <v>37498200</v>
      </c>
      <c r="H66" s="3">
        <f t="shared" si="1"/>
        <v>-4.0167364016736595E-3</v>
      </c>
      <c r="I66" t="str">
        <f t="shared" ref="I66:I97" si="3">IF(ISNUMBER(SEARCH("Dividend",B66)),"Yes","No")</f>
        <v>No</v>
      </c>
    </row>
    <row r="67" spans="1:9" x14ac:dyDescent="0.3">
      <c r="A67" s="1">
        <v>42339</v>
      </c>
      <c r="B67">
        <v>81.17</v>
      </c>
      <c r="C67">
        <v>81.45</v>
      </c>
      <c r="D67">
        <v>80.47</v>
      </c>
      <c r="E67">
        <v>80.760000000000005</v>
      </c>
      <c r="F67">
        <v>59.24</v>
      </c>
      <c r="G67">
        <v>49802600</v>
      </c>
      <c r="H67" s="3">
        <f t="shared" si="1"/>
        <v>-4.5370525962022956E-3</v>
      </c>
      <c r="I67" t="str">
        <f t="shared" si="3"/>
        <v>No</v>
      </c>
    </row>
    <row r="68" spans="1:9" x14ac:dyDescent="0.3">
      <c r="A68" s="1">
        <v>42370</v>
      </c>
      <c r="B68">
        <v>80.790000000000006</v>
      </c>
      <c r="C68">
        <v>81.8</v>
      </c>
      <c r="D68">
        <v>80.7</v>
      </c>
      <c r="E68">
        <v>81.73</v>
      </c>
      <c r="F68">
        <v>60.25</v>
      </c>
      <c r="G68">
        <v>53253300</v>
      </c>
      <c r="H68" s="3">
        <f t="shared" ref="H68:H131" si="4">(F68/F67)-1</f>
        <v>1.7049291019581414E-2</v>
      </c>
      <c r="I68" t="str">
        <f t="shared" si="3"/>
        <v>No</v>
      </c>
    </row>
    <row r="69" spans="1:9" x14ac:dyDescent="0.3">
      <c r="A69" s="1">
        <v>42401</v>
      </c>
      <c r="B69">
        <v>81.52</v>
      </c>
      <c r="C69">
        <v>82.58</v>
      </c>
      <c r="D69">
        <v>81.33</v>
      </c>
      <c r="E69">
        <v>82.25</v>
      </c>
      <c r="F69">
        <v>60.63</v>
      </c>
      <c r="G69">
        <v>41844900</v>
      </c>
      <c r="H69" s="3">
        <f t="shared" si="4"/>
        <v>6.3070539419087801E-3</v>
      </c>
      <c r="I69" t="str">
        <f t="shared" si="3"/>
        <v>No</v>
      </c>
    </row>
    <row r="70" spans="1:9" x14ac:dyDescent="0.3">
      <c r="A70" s="1">
        <v>42430</v>
      </c>
      <c r="B70">
        <v>82.17</v>
      </c>
      <c r="C70">
        <v>82.92</v>
      </c>
      <c r="D70">
        <v>81.650000000000006</v>
      </c>
      <c r="E70">
        <v>82.81</v>
      </c>
      <c r="F70">
        <v>61.17</v>
      </c>
      <c r="G70">
        <v>40037600</v>
      </c>
      <c r="H70" s="3">
        <f t="shared" si="4"/>
        <v>8.9064819396338368E-3</v>
      </c>
      <c r="I70" t="str">
        <f t="shared" si="3"/>
        <v>No</v>
      </c>
    </row>
    <row r="71" spans="1:9" x14ac:dyDescent="0.3">
      <c r="A71" s="1">
        <v>42461</v>
      </c>
      <c r="B71">
        <v>82.65</v>
      </c>
      <c r="C71">
        <v>83.15</v>
      </c>
      <c r="D71">
        <v>82.44</v>
      </c>
      <c r="E71">
        <v>82.97</v>
      </c>
      <c r="F71">
        <v>61.42</v>
      </c>
      <c r="G71">
        <v>41406400</v>
      </c>
      <c r="H71" s="3">
        <f t="shared" si="4"/>
        <v>4.0869707372894748E-3</v>
      </c>
      <c r="I71" t="str">
        <f t="shared" si="3"/>
        <v>No</v>
      </c>
    </row>
    <row r="72" spans="1:9" x14ac:dyDescent="0.3">
      <c r="A72" s="1">
        <v>42491</v>
      </c>
      <c r="B72">
        <v>82.78</v>
      </c>
      <c r="C72">
        <v>83.26</v>
      </c>
      <c r="D72">
        <v>82.52</v>
      </c>
      <c r="E72">
        <v>82.8</v>
      </c>
      <c r="F72">
        <v>61.42</v>
      </c>
      <c r="G72">
        <v>39045800</v>
      </c>
      <c r="H72" s="3">
        <f t="shared" si="4"/>
        <v>0</v>
      </c>
      <c r="I72" t="str">
        <f t="shared" si="3"/>
        <v>No</v>
      </c>
    </row>
    <row r="73" spans="1:9" x14ac:dyDescent="0.3">
      <c r="A73" s="1">
        <v>42522</v>
      </c>
      <c r="B73">
        <v>82.74</v>
      </c>
      <c r="C73">
        <v>84.41</v>
      </c>
      <c r="D73">
        <v>82.6</v>
      </c>
      <c r="E73">
        <v>84.3</v>
      </c>
      <c r="F73">
        <v>62.65</v>
      </c>
      <c r="G73">
        <v>39942300</v>
      </c>
      <c r="H73" s="3">
        <f t="shared" si="4"/>
        <v>2.0026050146531915E-2</v>
      </c>
      <c r="I73" t="str">
        <f t="shared" si="3"/>
        <v>No</v>
      </c>
    </row>
    <row r="74" spans="1:9" x14ac:dyDescent="0.3">
      <c r="A74" s="1">
        <v>42552</v>
      </c>
      <c r="B74">
        <v>84.44</v>
      </c>
      <c r="C74">
        <v>84.92</v>
      </c>
      <c r="D74">
        <v>83.95</v>
      </c>
      <c r="E74">
        <v>84.64</v>
      </c>
      <c r="F74">
        <v>63.04</v>
      </c>
      <c r="G74">
        <v>39476500</v>
      </c>
      <c r="H74" s="3">
        <f t="shared" si="4"/>
        <v>6.2250598563446946E-3</v>
      </c>
      <c r="I74" t="str">
        <f t="shared" si="3"/>
        <v>No</v>
      </c>
    </row>
    <row r="75" spans="1:9" x14ac:dyDescent="0.3">
      <c r="A75" s="1">
        <v>42583</v>
      </c>
      <c r="B75">
        <v>84.25</v>
      </c>
      <c r="C75">
        <v>84.49</v>
      </c>
      <c r="D75">
        <v>83.88</v>
      </c>
      <c r="E75">
        <v>84.21</v>
      </c>
      <c r="F75">
        <v>62.84</v>
      </c>
      <c r="G75">
        <v>51856200</v>
      </c>
      <c r="H75" s="3">
        <f t="shared" si="4"/>
        <v>-3.1725888324872775E-3</v>
      </c>
      <c r="I75" t="str">
        <f t="shared" si="3"/>
        <v>No</v>
      </c>
    </row>
    <row r="76" spans="1:9" x14ac:dyDescent="0.3">
      <c r="A76" s="1">
        <v>42614</v>
      </c>
      <c r="B76">
        <v>83.9</v>
      </c>
      <c r="C76">
        <v>84.4</v>
      </c>
      <c r="D76">
        <v>83.29</v>
      </c>
      <c r="E76">
        <v>84.14</v>
      </c>
      <c r="F76">
        <v>62.91</v>
      </c>
      <c r="G76">
        <v>47262400</v>
      </c>
      <c r="H76" s="3">
        <f t="shared" si="4"/>
        <v>1.113940165499594E-3</v>
      </c>
      <c r="I76" t="str">
        <f t="shared" si="3"/>
        <v>No</v>
      </c>
    </row>
    <row r="77" spans="1:9" x14ac:dyDescent="0.3">
      <c r="A77" s="1">
        <v>42644</v>
      </c>
      <c r="B77">
        <v>83.95</v>
      </c>
      <c r="C77">
        <v>84.01</v>
      </c>
      <c r="D77">
        <v>83.02</v>
      </c>
      <c r="E77">
        <v>83.19</v>
      </c>
      <c r="F77">
        <v>62.32</v>
      </c>
      <c r="G77">
        <v>31289000</v>
      </c>
      <c r="H77" s="3">
        <f t="shared" si="4"/>
        <v>-9.3784771896359143E-3</v>
      </c>
      <c r="I77" t="str">
        <f t="shared" si="3"/>
        <v>No</v>
      </c>
    </row>
    <row r="78" spans="1:9" x14ac:dyDescent="0.3">
      <c r="A78" s="1">
        <v>42675</v>
      </c>
      <c r="B78">
        <v>82.89</v>
      </c>
      <c r="C78">
        <v>83.24</v>
      </c>
      <c r="D78">
        <v>80.7</v>
      </c>
      <c r="E78">
        <v>80.89</v>
      </c>
      <c r="F78">
        <v>60.71</v>
      </c>
      <c r="G78">
        <v>40774700</v>
      </c>
      <c r="H78" s="3">
        <f t="shared" si="4"/>
        <v>-2.5834403080872925E-2</v>
      </c>
      <c r="I78" t="str">
        <f t="shared" si="3"/>
        <v>No</v>
      </c>
    </row>
    <row r="79" spans="1:9" x14ac:dyDescent="0.3">
      <c r="A79" s="1">
        <v>42705</v>
      </c>
      <c r="B79">
        <v>80.48</v>
      </c>
      <c r="C79">
        <v>81.06</v>
      </c>
      <c r="D79">
        <v>80.03</v>
      </c>
      <c r="E79">
        <v>80.790000000000006</v>
      </c>
      <c r="F79">
        <v>60.76</v>
      </c>
      <c r="G79">
        <v>63820100</v>
      </c>
      <c r="H79" s="3">
        <f t="shared" si="4"/>
        <v>8.2358754735634143E-4</v>
      </c>
      <c r="I79" t="str">
        <f t="shared" si="3"/>
        <v>No</v>
      </c>
    </row>
    <row r="80" spans="1:9" x14ac:dyDescent="0.3">
      <c r="A80" s="1">
        <v>42736</v>
      </c>
      <c r="B80">
        <v>80.55</v>
      </c>
      <c r="C80">
        <v>81.430000000000007</v>
      </c>
      <c r="D80">
        <v>80.5</v>
      </c>
      <c r="E80">
        <v>80.94</v>
      </c>
      <c r="F80">
        <v>61.15</v>
      </c>
      <c r="G80">
        <v>47715200</v>
      </c>
      <c r="H80" s="3">
        <f t="shared" si="4"/>
        <v>6.4186965108623539E-3</v>
      </c>
      <c r="I80" t="str">
        <f t="shared" si="3"/>
        <v>No</v>
      </c>
    </row>
    <row r="81" spans="1:9" x14ac:dyDescent="0.3">
      <c r="A81" s="1">
        <v>42767</v>
      </c>
      <c r="B81">
        <v>80.56</v>
      </c>
      <c r="C81">
        <v>81.52</v>
      </c>
      <c r="D81">
        <v>80.5</v>
      </c>
      <c r="E81">
        <v>81.27</v>
      </c>
      <c r="F81">
        <v>61.4</v>
      </c>
      <c r="G81">
        <v>43938500</v>
      </c>
      <c r="H81" s="3">
        <f t="shared" si="4"/>
        <v>4.0883074407196407E-3</v>
      </c>
      <c r="I81" t="str">
        <f t="shared" si="3"/>
        <v>No</v>
      </c>
    </row>
    <row r="82" spans="1:9" x14ac:dyDescent="0.3">
      <c r="A82" s="1">
        <v>42795</v>
      </c>
      <c r="B82">
        <v>80.78</v>
      </c>
      <c r="C82">
        <v>81.23</v>
      </c>
      <c r="D82">
        <v>80.02</v>
      </c>
      <c r="E82">
        <v>81.08</v>
      </c>
      <c r="F82">
        <v>61.38</v>
      </c>
      <c r="G82">
        <v>50619400</v>
      </c>
      <c r="H82" s="3">
        <f t="shared" si="4"/>
        <v>-3.2573289902271263E-4</v>
      </c>
      <c r="I82" t="str">
        <f t="shared" si="3"/>
        <v>No</v>
      </c>
    </row>
    <row r="83" spans="1:9" x14ac:dyDescent="0.3">
      <c r="A83" s="1">
        <v>42826</v>
      </c>
      <c r="B83">
        <v>80.97</v>
      </c>
      <c r="C83">
        <v>81.97</v>
      </c>
      <c r="D83">
        <v>80.91</v>
      </c>
      <c r="E83">
        <v>81.55</v>
      </c>
      <c r="F83">
        <v>61.86</v>
      </c>
      <c r="G83">
        <v>32894800</v>
      </c>
      <c r="H83" s="3">
        <f t="shared" si="4"/>
        <v>7.82013685239491E-3</v>
      </c>
      <c r="I83" t="str">
        <f t="shared" si="3"/>
        <v>No</v>
      </c>
    </row>
    <row r="84" spans="1:9" x14ac:dyDescent="0.3">
      <c r="A84" s="1">
        <v>42856</v>
      </c>
      <c r="B84">
        <v>81.34</v>
      </c>
      <c r="C84">
        <v>82.01</v>
      </c>
      <c r="D84">
        <v>80.930000000000007</v>
      </c>
      <c r="E84">
        <v>81.96</v>
      </c>
      <c r="F84">
        <v>62.3</v>
      </c>
      <c r="G84">
        <v>37408700</v>
      </c>
      <c r="H84" s="3">
        <f t="shared" si="4"/>
        <v>7.11283543485286E-3</v>
      </c>
      <c r="I84" t="str">
        <f t="shared" si="3"/>
        <v>No</v>
      </c>
    </row>
    <row r="85" spans="1:9" x14ac:dyDescent="0.3">
      <c r="A85" s="1">
        <v>42887</v>
      </c>
      <c r="B85">
        <v>81.709999999999994</v>
      </c>
      <c r="C85">
        <v>82.39</v>
      </c>
      <c r="D85">
        <v>81.69</v>
      </c>
      <c r="E85">
        <v>81.83</v>
      </c>
      <c r="F85">
        <v>62.33</v>
      </c>
      <c r="G85">
        <v>42753500</v>
      </c>
      <c r="H85" s="3">
        <f t="shared" si="4"/>
        <v>4.8154093097907413E-4</v>
      </c>
      <c r="I85" t="str">
        <f t="shared" si="3"/>
        <v>No</v>
      </c>
    </row>
    <row r="86" spans="1:9" x14ac:dyDescent="0.3">
      <c r="A86" s="1">
        <v>42917</v>
      </c>
      <c r="B86">
        <v>81.66</v>
      </c>
      <c r="C86">
        <v>82.16</v>
      </c>
      <c r="D86">
        <v>81.3</v>
      </c>
      <c r="E86">
        <v>81.99</v>
      </c>
      <c r="F86">
        <v>62.58</v>
      </c>
      <c r="G86">
        <v>33596600</v>
      </c>
      <c r="H86" s="3">
        <f t="shared" si="4"/>
        <v>4.010909674314167E-3</v>
      </c>
      <c r="I86" t="str">
        <f t="shared" si="3"/>
        <v>No</v>
      </c>
    </row>
    <row r="87" spans="1:9" x14ac:dyDescent="0.3">
      <c r="A87" s="1">
        <v>42948</v>
      </c>
      <c r="B87">
        <v>81.760000000000005</v>
      </c>
      <c r="C87">
        <v>82.58</v>
      </c>
      <c r="D87">
        <v>81.75</v>
      </c>
      <c r="E87">
        <v>82.52</v>
      </c>
      <c r="F87">
        <v>63.25</v>
      </c>
      <c r="G87">
        <v>35037700</v>
      </c>
      <c r="H87" s="3">
        <f t="shared" si="4"/>
        <v>1.070629594119521E-2</v>
      </c>
      <c r="I87" t="str">
        <f t="shared" si="3"/>
        <v>No</v>
      </c>
    </row>
    <row r="88" spans="1:9" x14ac:dyDescent="0.3">
      <c r="A88" s="1">
        <v>42979</v>
      </c>
      <c r="B88">
        <v>82.31</v>
      </c>
      <c r="C88">
        <v>82.71</v>
      </c>
      <c r="D88">
        <v>81.8</v>
      </c>
      <c r="E88">
        <v>81.96</v>
      </c>
      <c r="F88">
        <v>63.08</v>
      </c>
      <c r="G88">
        <v>34145400</v>
      </c>
      <c r="H88" s="3">
        <f t="shared" si="4"/>
        <v>-2.6877470355731736E-3</v>
      </c>
      <c r="I88" t="str">
        <f t="shared" si="3"/>
        <v>No</v>
      </c>
    </row>
    <row r="89" spans="1:9" x14ac:dyDescent="0.3">
      <c r="A89" s="1">
        <v>43009</v>
      </c>
      <c r="B89">
        <v>81.75</v>
      </c>
      <c r="C89">
        <v>82.06</v>
      </c>
      <c r="D89">
        <v>81.430000000000007</v>
      </c>
      <c r="E89">
        <v>81.77</v>
      </c>
      <c r="F89">
        <v>63.07</v>
      </c>
      <c r="G89">
        <v>45694300</v>
      </c>
      <c r="H89" s="3">
        <f t="shared" si="4"/>
        <v>-1.5852885225109414E-4</v>
      </c>
      <c r="I89" t="str">
        <f t="shared" si="3"/>
        <v>No</v>
      </c>
    </row>
    <row r="90" spans="1:9" x14ac:dyDescent="0.3">
      <c r="A90" s="1">
        <v>43040</v>
      </c>
      <c r="B90">
        <v>81.59</v>
      </c>
      <c r="C90">
        <v>81.95</v>
      </c>
      <c r="D90">
        <v>81.42</v>
      </c>
      <c r="E90">
        <v>81.510000000000005</v>
      </c>
      <c r="F90">
        <v>63</v>
      </c>
      <c r="G90">
        <v>39560000</v>
      </c>
      <c r="H90" s="3">
        <f t="shared" si="4"/>
        <v>-1.1098779134295356E-3</v>
      </c>
      <c r="I90" t="str">
        <f t="shared" si="3"/>
        <v>No</v>
      </c>
    </row>
    <row r="91" spans="1:9" x14ac:dyDescent="0.3">
      <c r="A91" s="1">
        <v>43070</v>
      </c>
      <c r="B91">
        <v>81.5</v>
      </c>
      <c r="C91">
        <v>81.849999999999994</v>
      </c>
      <c r="D91">
        <v>81.17</v>
      </c>
      <c r="E91">
        <v>81.569999999999993</v>
      </c>
      <c r="F91">
        <v>63.18</v>
      </c>
      <c r="G91">
        <v>43542000</v>
      </c>
      <c r="H91" s="3">
        <f t="shared" si="4"/>
        <v>2.8571428571428914E-3</v>
      </c>
      <c r="I91" t="str">
        <f t="shared" si="3"/>
        <v>No</v>
      </c>
    </row>
    <row r="92" spans="1:9" x14ac:dyDescent="0.3">
      <c r="A92" s="1">
        <v>43101</v>
      </c>
      <c r="B92">
        <v>81.45</v>
      </c>
      <c r="C92">
        <v>81.5</v>
      </c>
      <c r="D92">
        <v>80.430000000000007</v>
      </c>
      <c r="E92">
        <v>80.56</v>
      </c>
      <c r="F92">
        <v>62.69</v>
      </c>
      <c r="G92">
        <v>61108500</v>
      </c>
      <c r="H92" s="3">
        <f t="shared" si="4"/>
        <v>-7.7556188667300408E-3</v>
      </c>
      <c r="I92" t="str">
        <f t="shared" si="3"/>
        <v>No</v>
      </c>
    </row>
    <row r="93" spans="1:9" x14ac:dyDescent="0.3">
      <c r="A93" s="1">
        <v>43132</v>
      </c>
      <c r="B93">
        <v>80.37</v>
      </c>
      <c r="C93">
        <v>80.430000000000007</v>
      </c>
      <c r="D93">
        <v>79.23</v>
      </c>
      <c r="E93">
        <v>79.55</v>
      </c>
      <c r="F93">
        <v>61.9</v>
      </c>
      <c r="G93">
        <v>57920600</v>
      </c>
      <c r="H93" s="3">
        <f t="shared" si="4"/>
        <v>-1.2601690859786241E-2</v>
      </c>
      <c r="I93" t="str">
        <f t="shared" si="3"/>
        <v>No</v>
      </c>
    </row>
    <row r="94" spans="1:9" x14ac:dyDescent="0.3">
      <c r="A94" s="1">
        <v>43160</v>
      </c>
      <c r="B94">
        <v>79.42</v>
      </c>
      <c r="C94">
        <v>79.95</v>
      </c>
      <c r="D94">
        <v>79.14</v>
      </c>
      <c r="E94">
        <v>79.930000000000007</v>
      </c>
      <c r="F94">
        <v>62.34</v>
      </c>
      <c r="G94">
        <v>46654700</v>
      </c>
      <c r="H94" s="3">
        <f t="shared" si="4"/>
        <v>7.1082390953149943E-3</v>
      </c>
      <c r="I94" t="str">
        <f t="shared" si="3"/>
        <v>No</v>
      </c>
    </row>
    <row r="95" spans="1:9" x14ac:dyDescent="0.3">
      <c r="A95" s="1">
        <v>43191</v>
      </c>
      <c r="B95">
        <v>79.63</v>
      </c>
      <c r="C95">
        <v>79.8</v>
      </c>
      <c r="D95">
        <v>78.69</v>
      </c>
      <c r="E95">
        <v>79.05</v>
      </c>
      <c r="F95">
        <v>61.78</v>
      </c>
      <c r="G95">
        <v>41553400</v>
      </c>
      <c r="H95" s="3">
        <f t="shared" si="4"/>
        <v>-8.9829964709656762E-3</v>
      </c>
      <c r="I95" t="str">
        <f t="shared" si="3"/>
        <v>No</v>
      </c>
    </row>
    <row r="96" spans="1:9" x14ac:dyDescent="0.3">
      <c r="A96" s="1">
        <v>43221</v>
      </c>
      <c r="B96">
        <v>78.86</v>
      </c>
      <c r="C96">
        <v>79.78</v>
      </c>
      <c r="D96">
        <v>78.3</v>
      </c>
      <c r="E96">
        <v>79.41</v>
      </c>
      <c r="F96">
        <v>62.21</v>
      </c>
      <c r="G96">
        <v>40136100</v>
      </c>
      <c r="H96" s="3">
        <f t="shared" si="4"/>
        <v>6.9601812884427794E-3</v>
      </c>
      <c r="I96" t="str">
        <f t="shared" si="3"/>
        <v>No</v>
      </c>
    </row>
    <row r="97" spans="1:9" x14ac:dyDescent="0.3">
      <c r="A97" s="1">
        <v>43252</v>
      </c>
      <c r="B97">
        <v>79.03</v>
      </c>
      <c r="C97">
        <v>79.3</v>
      </c>
      <c r="D97">
        <v>78.58</v>
      </c>
      <c r="E97">
        <v>79.19</v>
      </c>
      <c r="F97">
        <v>62.18</v>
      </c>
      <c r="G97">
        <v>50492300</v>
      </c>
      <c r="H97" s="3">
        <f t="shared" si="4"/>
        <v>-4.8223758238230552E-4</v>
      </c>
      <c r="I97" t="str">
        <f t="shared" si="3"/>
        <v>No</v>
      </c>
    </row>
    <row r="98" spans="1:9" x14ac:dyDescent="0.3">
      <c r="A98" s="1">
        <v>43282</v>
      </c>
      <c r="B98">
        <v>79.03</v>
      </c>
      <c r="C98">
        <v>79.38</v>
      </c>
      <c r="D98">
        <v>78.87</v>
      </c>
      <c r="E98">
        <v>78.98</v>
      </c>
      <c r="F98">
        <v>62.31</v>
      </c>
      <c r="G98">
        <v>41128800</v>
      </c>
      <c r="H98" s="3">
        <f t="shared" si="4"/>
        <v>2.090704406561672E-3</v>
      </c>
      <c r="I98" t="str">
        <f t="shared" ref="I98:I129" si="5">IF(ISNUMBER(SEARCH("Dividend",B98)),"Yes","No")</f>
        <v>No</v>
      </c>
    </row>
    <row r="99" spans="1:9" x14ac:dyDescent="0.3">
      <c r="A99" s="1">
        <v>43313</v>
      </c>
      <c r="B99">
        <v>78.75</v>
      </c>
      <c r="C99">
        <v>79.52</v>
      </c>
      <c r="D99">
        <v>78.650000000000006</v>
      </c>
      <c r="E99">
        <v>79.319999999999993</v>
      </c>
      <c r="F99">
        <v>62.72</v>
      </c>
      <c r="G99">
        <v>52090500</v>
      </c>
      <c r="H99" s="3">
        <f t="shared" si="4"/>
        <v>6.5800032097576011E-3</v>
      </c>
      <c r="I99" t="str">
        <f t="shared" si="5"/>
        <v>No</v>
      </c>
    </row>
    <row r="100" spans="1:9" x14ac:dyDescent="0.3">
      <c r="A100" s="1">
        <v>43344</v>
      </c>
      <c r="B100">
        <v>79</v>
      </c>
      <c r="C100">
        <v>79.180000000000007</v>
      </c>
      <c r="D100">
        <v>78.38</v>
      </c>
      <c r="E100">
        <v>78.7</v>
      </c>
      <c r="F100">
        <v>62.38</v>
      </c>
      <c r="G100">
        <v>39836100</v>
      </c>
      <c r="H100" s="3">
        <f t="shared" si="4"/>
        <v>-5.4209183673469274E-3</v>
      </c>
      <c r="I100" t="str">
        <f t="shared" si="5"/>
        <v>No</v>
      </c>
    </row>
    <row r="101" spans="1:9" x14ac:dyDescent="0.3">
      <c r="A101" s="1">
        <v>43374</v>
      </c>
      <c r="B101">
        <v>78.42</v>
      </c>
      <c r="C101">
        <v>78.55</v>
      </c>
      <c r="D101">
        <v>77.66</v>
      </c>
      <c r="E101">
        <v>77.84</v>
      </c>
      <c r="F101">
        <v>61.84</v>
      </c>
      <c r="G101">
        <v>57503500</v>
      </c>
      <c r="H101" s="3">
        <f t="shared" si="4"/>
        <v>-8.6566207117665384E-3</v>
      </c>
      <c r="I101" t="str">
        <f t="shared" si="5"/>
        <v>No</v>
      </c>
    </row>
    <row r="102" spans="1:9" x14ac:dyDescent="0.3">
      <c r="A102" s="1">
        <v>43405</v>
      </c>
      <c r="B102">
        <v>77.650000000000006</v>
      </c>
      <c r="C102">
        <v>78.17</v>
      </c>
      <c r="D102">
        <v>77.459999999999994</v>
      </c>
      <c r="E102">
        <v>78.14</v>
      </c>
      <c r="F102">
        <v>62.22</v>
      </c>
      <c r="G102">
        <v>47154800</v>
      </c>
      <c r="H102" s="3">
        <f t="shared" si="4"/>
        <v>6.1448900388096916E-3</v>
      </c>
      <c r="I102" t="str">
        <f t="shared" si="5"/>
        <v>No</v>
      </c>
    </row>
    <row r="103" spans="1:9" x14ac:dyDescent="0.3">
      <c r="A103" s="1">
        <v>43435</v>
      </c>
      <c r="B103">
        <v>77.989999999999995</v>
      </c>
      <c r="C103">
        <v>79.260000000000005</v>
      </c>
      <c r="D103">
        <v>77.95</v>
      </c>
      <c r="E103">
        <v>79.209999999999994</v>
      </c>
      <c r="F103">
        <v>63.23</v>
      </c>
      <c r="G103">
        <v>70316900</v>
      </c>
      <c r="H103" s="3">
        <f t="shared" si="4"/>
        <v>1.6232722597235627E-2</v>
      </c>
      <c r="I103" t="str">
        <f t="shared" si="5"/>
        <v>No</v>
      </c>
    </row>
    <row r="104" spans="1:9" x14ac:dyDescent="0.3">
      <c r="A104" s="1">
        <v>43466</v>
      </c>
      <c r="B104">
        <v>79.28</v>
      </c>
      <c r="C104">
        <v>80.09</v>
      </c>
      <c r="D104">
        <v>79.14</v>
      </c>
      <c r="E104">
        <v>80.09</v>
      </c>
      <c r="F104">
        <v>64.25</v>
      </c>
      <c r="G104">
        <v>61718800</v>
      </c>
      <c r="H104" s="3">
        <f t="shared" si="4"/>
        <v>1.6131583109283643E-2</v>
      </c>
      <c r="I104" t="str">
        <f t="shared" si="5"/>
        <v>No</v>
      </c>
    </row>
    <row r="105" spans="1:9" x14ac:dyDescent="0.3">
      <c r="A105" s="1">
        <v>43497</v>
      </c>
      <c r="B105">
        <v>79.790000000000006</v>
      </c>
      <c r="C105">
        <v>80.12</v>
      </c>
      <c r="D105">
        <v>79.53</v>
      </c>
      <c r="E105">
        <v>79.819999999999993</v>
      </c>
      <c r="F105">
        <v>64.040000000000006</v>
      </c>
      <c r="G105">
        <v>46049200</v>
      </c>
      <c r="H105" s="3">
        <f t="shared" si="4"/>
        <v>-3.2684824902722287E-3</v>
      </c>
      <c r="I105" t="str">
        <f t="shared" si="5"/>
        <v>No</v>
      </c>
    </row>
    <row r="106" spans="1:9" x14ac:dyDescent="0.3">
      <c r="A106" s="1">
        <v>43525</v>
      </c>
      <c r="B106">
        <v>79.55</v>
      </c>
      <c r="C106">
        <v>81.31</v>
      </c>
      <c r="D106">
        <v>79.39</v>
      </c>
      <c r="E106">
        <v>81.180000000000007</v>
      </c>
      <c r="F106">
        <v>65.290000000000006</v>
      </c>
      <c r="G106">
        <v>53424600</v>
      </c>
      <c r="H106" s="3">
        <f t="shared" si="4"/>
        <v>1.9519050593379106E-2</v>
      </c>
      <c r="I106" t="str">
        <f t="shared" si="5"/>
        <v>No</v>
      </c>
    </row>
    <row r="107" spans="1:9" x14ac:dyDescent="0.3">
      <c r="A107" s="1">
        <v>43556</v>
      </c>
      <c r="B107">
        <v>80.86</v>
      </c>
      <c r="C107">
        <v>81.05</v>
      </c>
      <c r="D107">
        <v>80.45</v>
      </c>
      <c r="E107">
        <v>80.959999999999994</v>
      </c>
      <c r="F107">
        <v>65.260000000000005</v>
      </c>
      <c r="G107">
        <v>49802600</v>
      </c>
      <c r="H107" s="3">
        <f t="shared" si="4"/>
        <v>-4.5948843620768898E-4</v>
      </c>
      <c r="I107" t="str">
        <f t="shared" si="5"/>
        <v>No</v>
      </c>
    </row>
    <row r="108" spans="1:9" x14ac:dyDescent="0.3">
      <c r="A108" s="1">
        <v>43586</v>
      </c>
      <c r="B108">
        <v>80.78</v>
      </c>
      <c r="C108">
        <v>82.24</v>
      </c>
      <c r="D108">
        <v>80.53</v>
      </c>
      <c r="E108">
        <v>82.24</v>
      </c>
      <c r="F108">
        <v>66.459999999999994</v>
      </c>
      <c r="G108">
        <v>64384200</v>
      </c>
      <c r="H108" s="3">
        <f t="shared" si="4"/>
        <v>1.8387986515476351E-2</v>
      </c>
      <c r="I108" t="str">
        <f t="shared" si="5"/>
        <v>No</v>
      </c>
    </row>
    <row r="109" spans="1:9" x14ac:dyDescent="0.3">
      <c r="A109" s="1">
        <v>43617</v>
      </c>
      <c r="B109">
        <v>82.14</v>
      </c>
      <c r="C109">
        <v>83.13</v>
      </c>
      <c r="D109">
        <v>82.03</v>
      </c>
      <c r="E109">
        <v>83.07</v>
      </c>
      <c r="F109">
        <v>67.290000000000006</v>
      </c>
      <c r="G109">
        <v>56888300</v>
      </c>
      <c r="H109" s="3">
        <f t="shared" si="4"/>
        <v>1.2488715016551577E-2</v>
      </c>
      <c r="I109" t="str">
        <f t="shared" si="5"/>
        <v>No</v>
      </c>
    </row>
    <row r="110" spans="1:9" x14ac:dyDescent="0.3">
      <c r="A110" s="1">
        <v>43647</v>
      </c>
      <c r="B110">
        <v>82.91</v>
      </c>
      <c r="C110">
        <v>83.22</v>
      </c>
      <c r="D110">
        <v>82.43</v>
      </c>
      <c r="E110">
        <v>83</v>
      </c>
      <c r="F110">
        <v>67.39</v>
      </c>
      <c r="G110">
        <v>49681900</v>
      </c>
      <c r="H110" s="3">
        <f t="shared" si="4"/>
        <v>1.4861049190071363E-3</v>
      </c>
      <c r="I110" t="str">
        <f t="shared" si="5"/>
        <v>No</v>
      </c>
    </row>
    <row r="111" spans="1:9" x14ac:dyDescent="0.3">
      <c r="A111" s="1">
        <v>43678</v>
      </c>
      <c r="B111">
        <v>82.97</v>
      </c>
      <c r="C111">
        <v>85.3</v>
      </c>
      <c r="D111">
        <v>82.94</v>
      </c>
      <c r="E111">
        <v>85.1</v>
      </c>
      <c r="F111">
        <v>69.260000000000005</v>
      </c>
      <c r="G111">
        <v>76372500</v>
      </c>
      <c r="H111" s="3">
        <f t="shared" si="4"/>
        <v>2.7748924172726008E-2</v>
      </c>
      <c r="I111" t="str">
        <f t="shared" si="5"/>
        <v>No</v>
      </c>
    </row>
    <row r="112" spans="1:9" x14ac:dyDescent="0.3">
      <c r="A112" s="1">
        <v>43709</v>
      </c>
      <c r="B112">
        <v>84.98</v>
      </c>
      <c r="C112">
        <v>85.18</v>
      </c>
      <c r="D112">
        <v>83.29</v>
      </c>
      <c r="E112">
        <v>84.43</v>
      </c>
      <c r="F112">
        <v>68.88</v>
      </c>
      <c r="G112">
        <v>58285300</v>
      </c>
      <c r="H112" s="3">
        <f t="shared" si="4"/>
        <v>-5.4865723361249286E-3</v>
      </c>
      <c r="I112" t="str">
        <f t="shared" si="5"/>
        <v>No</v>
      </c>
    </row>
    <row r="113" spans="1:9" x14ac:dyDescent="0.3">
      <c r="A113" s="1">
        <v>43739</v>
      </c>
      <c r="B113">
        <v>84.05</v>
      </c>
      <c r="C113">
        <v>84.98</v>
      </c>
      <c r="D113">
        <v>83.76</v>
      </c>
      <c r="E113">
        <v>84.51</v>
      </c>
      <c r="F113">
        <v>69.09</v>
      </c>
      <c r="G113">
        <v>73007400</v>
      </c>
      <c r="H113" s="3">
        <f t="shared" si="4"/>
        <v>3.0487804878049918E-3</v>
      </c>
      <c r="I113" t="str">
        <f t="shared" si="5"/>
        <v>No</v>
      </c>
    </row>
    <row r="114" spans="1:9" x14ac:dyDescent="0.3">
      <c r="A114" s="1">
        <v>43770</v>
      </c>
      <c r="B114">
        <v>84.25</v>
      </c>
      <c r="C114">
        <v>84.44</v>
      </c>
      <c r="D114">
        <v>83.26</v>
      </c>
      <c r="E114">
        <v>84.29</v>
      </c>
      <c r="F114">
        <v>69.06</v>
      </c>
      <c r="G114">
        <v>59052300</v>
      </c>
      <c r="H114" s="3">
        <f t="shared" si="4"/>
        <v>-4.3421623968742384E-4</v>
      </c>
      <c r="I114" t="str">
        <f t="shared" si="5"/>
        <v>No</v>
      </c>
    </row>
    <row r="115" spans="1:9" x14ac:dyDescent="0.3">
      <c r="A115" s="1">
        <v>43800</v>
      </c>
      <c r="B115">
        <v>83.83</v>
      </c>
      <c r="C115">
        <v>84.43</v>
      </c>
      <c r="D115">
        <v>83.61</v>
      </c>
      <c r="E115">
        <v>83.86</v>
      </c>
      <c r="F115">
        <v>68.86</v>
      </c>
      <c r="G115">
        <v>69766400</v>
      </c>
      <c r="H115" s="3">
        <f t="shared" si="4"/>
        <v>-2.896032435563356E-3</v>
      </c>
      <c r="I115" t="str">
        <f t="shared" si="5"/>
        <v>No</v>
      </c>
    </row>
    <row r="116" spans="1:9" x14ac:dyDescent="0.3">
      <c r="A116" s="1">
        <v>43831</v>
      </c>
      <c r="B116">
        <v>83.98</v>
      </c>
      <c r="C116">
        <v>85.58</v>
      </c>
      <c r="D116">
        <v>83.86</v>
      </c>
      <c r="E116">
        <v>85.52</v>
      </c>
      <c r="F116">
        <v>70.53</v>
      </c>
      <c r="G116">
        <v>86598400</v>
      </c>
      <c r="H116" s="3">
        <f t="shared" si="4"/>
        <v>2.4252105721754402E-2</v>
      </c>
      <c r="I116" t="str">
        <f t="shared" si="5"/>
        <v>No</v>
      </c>
    </row>
    <row r="117" spans="1:9" x14ac:dyDescent="0.3">
      <c r="A117" s="1">
        <v>43862</v>
      </c>
      <c r="B117">
        <v>85.22</v>
      </c>
      <c r="C117">
        <v>86.87</v>
      </c>
      <c r="D117">
        <v>84.83</v>
      </c>
      <c r="E117">
        <v>86.76</v>
      </c>
      <c r="F117">
        <v>71.55</v>
      </c>
      <c r="G117">
        <v>107859600</v>
      </c>
      <c r="H117" s="3">
        <f t="shared" si="4"/>
        <v>1.4461931093151748E-2</v>
      </c>
      <c r="I117" t="str">
        <f t="shared" si="5"/>
        <v>No</v>
      </c>
    </row>
    <row r="118" spans="1:9" x14ac:dyDescent="0.3">
      <c r="A118" s="1">
        <v>43891</v>
      </c>
      <c r="B118">
        <v>86.82</v>
      </c>
      <c r="C118">
        <v>89.32</v>
      </c>
      <c r="D118">
        <v>76.489999999999995</v>
      </c>
      <c r="E118">
        <v>85.35</v>
      </c>
      <c r="F118">
        <v>70.540000000000006</v>
      </c>
      <c r="G118">
        <v>223067200</v>
      </c>
      <c r="H118" s="3">
        <f t="shared" si="4"/>
        <v>-1.4116002795247939E-2</v>
      </c>
      <c r="I118" t="str">
        <f t="shared" si="5"/>
        <v>No</v>
      </c>
    </row>
    <row r="119" spans="1:9" x14ac:dyDescent="0.3">
      <c r="A119" s="1">
        <v>43922</v>
      </c>
      <c r="B119">
        <v>86.12</v>
      </c>
      <c r="C119">
        <v>87.86</v>
      </c>
      <c r="D119">
        <v>85.55</v>
      </c>
      <c r="E119">
        <v>87.51</v>
      </c>
      <c r="F119">
        <v>72.47</v>
      </c>
      <c r="G119">
        <v>93086600</v>
      </c>
      <c r="H119" s="3">
        <f t="shared" si="4"/>
        <v>2.7360362914658154E-2</v>
      </c>
      <c r="I119" t="str">
        <f t="shared" si="5"/>
        <v>No</v>
      </c>
    </row>
    <row r="120" spans="1:9" x14ac:dyDescent="0.3">
      <c r="A120" s="1">
        <v>43952</v>
      </c>
      <c r="B120">
        <v>87.38</v>
      </c>
      <c r="C120">
        <v>87.94</v>
      </c>
      <c r="D120">
        <v>86.63</v>
      </c>
      <c r="E120">
        <v>87.92</v>
      </c>
      <c r="F120">
        <v>72.97</v>
      </c>
      <c r="G120">
        <v>90798800</v>
      </c>
      <c r="H120" s="3">
        <f t="shared" si="4"/>
        <v>6.8994066510279506E-3</v>
      </c>
      <c r="I120" t="str">
        <f t="shared" si="5"/>
        <v>No</v>
      </c>
    </row>
    <row r="121" spans="1:9" x14ac:dyDescent="0.3">
      <c r="A121" s="1">
        <v>43983</v>
      </c>
      <c r="B121">
        <v>87.59</v>
      </c>
      <c r="C121">
        <v>88.36</v>
      </c>
      <c r="D121">
        <v>87.03</v>
      </c>
      <c r="E121">
        <v>88.34</v>
      </c>
      <c r="F121">
        <v>73.47</v>
      </c>
      <c r="G121">
        <v>98981800</v>
      </c>
      <c r="H121" s="3">
        <f t="shared" si="4"/>
        <v>6.8521310127449553E-3</v>
      </c>
      <c r="I121" t="str">
        <f t="shared" si="5"/>
        <v>No</v>
      </c>
    </row>
    <row r="122" spans="1:9" x14ac:dyDescent="0.3">
      <c r="A122" s="1">
        <v>44013</v>
      </c>
      <c r="B122">
        <v>88.14</v>
      </c>
      <c r="C122">
        <v>89.47</v>
      </c>
      <c r="D122">
        <v>88</v>
      </c>
      <c r="E122">
        <v>89.46</v>
      </c>
      <c r="F122">
        <v>74.540000000000006</v>
      </c>
      <c r="G122">
        <v>79143600</v>
      </c>
      <c r="H122" s="3">
        <f t="shared" si="4"/>
        <v>1.4563767524159665E-2</v>
      </c>
      <c r="I122" t="str">
        <f t="shared" si="5"/>
        <v>No</v>
      </c>
    </row>
    <row r="123" spans="1:9" x14ac:dyDescent="0.3">
      <c r="A123" s="1">
        <v>44044</v>
      </c>
      <c r="B123">
        <v>89.32</v>
      </c>
      <c r="C123">
        <v>89.59</v>
      </c>
      <c r="D123">
        <v>88.12</v>
      </c>
      <c r="E123">
        <v>88.46</v>
      </c>
      <c r="F123">
        <v>73.849999999999994</v>
      </c>
      <c r="G123">
        <v>109325800</v>
      </c>
      <c r="H123" s="3">
        <f t="shared" si="4"/>
        <v>-9.2567748859674337E-3</v>
      </c>
      <c r="I123" t="str">
        <f t="shared" si="5"/>
        <v>No</v>
      </c>
    </row>
    <row r="124" spans="1:9" x14ac:dyDescent="0.3">
      <c r="A124" s="1">
        <v>44075</v>
      </c>
      <c r="B124">
        <v>88.25</v>
      </c>
      <c r="C124">
        <v>88.89</v>
      </c>
      <c r="D124">
        <v>88.13</v>
      </c>
      <c r="E124">
        <v>88.22</v>
      </c>
      <c r="F124">
        <v>73.78</v>
      </c>
      <c r="G124">
        <v>108290000</v>
      </c>
      <c r="H124" s="3">
        <f t="shared" si="4"/>
        <v>-9.4786729857809782E-4</v>
      </c>
      <c r="I124" t="str">
        <f t="shared" si="5"/>
        <v>No</v>
      </c>
    </row>
    <row r="125" spans="1:9" x14ac:dyDescent="0.3">
      <c r="A125" s="1">
        <v>44105</v>
      </c>
      <c r="B125">
        <v>87.99</v>
      </c>
      <c r="C125">
        <v>88.24</v>
      </c>
      <c r="D125">
        <v>87.5</v>
      </c>
      <c r="E125">
        <v>87.58</v>
      </c>
      <c r="F125">
        <v>73.37</v>
      </c>
      <c r="G125">
        <v>105499500</v>
      </c>
      <c r="H125" s="3">
        <f t="shared" si="4"/>
        <v>-5.5570615342911411E-3</v>
      </c>
      <c r="I125" t="str">
        <f t="shared" si="5"/>
        <v>No</v>
      </c>
    </row>
    <row r="126" spans="1:9" x14ac:dyDescent="0.3">
      <c r="A126" s="1">
        <v>44136</v>
      </c>
      <c r="B126">
        <v>87.56</v>
      </c>
      <c r="C126">
        <v>88.5</v>
      </c>
      <c r="D126">
        <v>87.38</v>
      </c>
      <c r="E126">
        <v>88.49</v>
      </c>
      <c r="F126">
        <v>74.260000000000005</v>
      </c>
      <c r="G126">
        <v>92201500</v>
      </c>
      <c r="H126" s="3">
        <f t="shared" si="4"/>
        <v>1.2130298487120106E-2</v>
      </c>
      <c r="I126" t="str">
        <f t="shared" si="5"/>
        <v>No</v>
      </c>
    </row>
    <row r="127" spans="1:9" x14ac:dyDescent="0.3">
      <c r="A127" s="1">
        <v>44166</v>
      </c>
      <c r="B127">
        <v>88.26</v>
      </c>
      <c r="C127">
        <v>88.3</v>
      </c>
      <c r="D127">
        <v>87.7</v>
      </c>
      <c r="E127">
        <v>88.19</v>
      </c>
      <c r="F127">
        <v>74.13</v>
      </c>
      <c r="G127">
        <v>105574500</v>
      </c>
      <c r="H127" s="3">
        <f t="shared" si="4"/>
        <v>-1.7506059789929029E-3</v>
      </c>
      <c r="I127" t="str">
        <f t="shared" si="5"/>
        <v>No</v>
      </c>
    </row>
    <row r="128" spans="1:9" x14ac:dyDescent="0.3">
      <c r="A128" s="1">
        <v>44197</v>
      </c>
      <c r="B128">
        <v>88.04</v>
      </c>
      <c r="C128">
        <v>88.1</v>
      </c>
      <c r="D128">
        <v>86.94</v>
      </c>
      <c r="E128">
        <v>87.43</v>
      </c>
      <c r="F128">
        <v>73.86</v>
      </c>
      <c r="G128">
        <v>114243800</v>
      </c>
      <c r="H128" s="3">
        <f t="shared" si="4"/>
        <v>-3.6422501011735831E-3</v>
      </c>
      <c r="I128" t="str">
        <f t="shared" si="5"/>
        <v>No</v>
      </c>
    </row>
    <row r="129" spans="1:9" x14ac:dyDescent="0.3">
      <c r="A129" s="1">
        <v>44228</v>
      </c>
      <c r="B129">
        <v>87.24</v>
      </c>
      <c r="C129">
        <v>87.37</v>
      </c>
      <c r="D129">
        <v>84.92</v>
      </c>
      <c r="E129">
        <v>85.94</v>
      </c>
      <c r="F129">
        <v>72.599999999999994</v>
      </c>
      <c r="G129">
        <v>102362500</v>
      </c>
      <c r="H129" s="3">
        <f t="shared" si="4"/>
        <v>-1.7059301380991099E-2</v>
      </c>
      <c r="I129" t="str">
        <f t="shared" si="5"/>
        <v>No</v>
      </c>
    </row>
    <row r="130" spans="1:9" x14ac:dyDescent="0.3">
      <c r="A130" s="1">
        <v>44256</v>
      </c>
      <c r="B130">
        <v>85.61</v>
      </c>
      <c r="C130">
        <v>85.75</v>
      </c>
      <c r="D130">
        <v>84.22</v>
      </c>
      <c r="E130">
        <v>84.72</v>
      </c>
      <c r="F130">
        <v>71.680000000000007</v>
      </c>
      <c r="G130">
        <v>131286300</v>
      </c>
      <c r="H130" s="3">
        <f t="shared" si="4"/>
        <v>-1.2672176308539784E-2</v>
      </c>
      <c r="I130" t="str">
        <f t="shared" ref="I130:I161" si="6">IF(ISNUMBER(SEARCH("Dividend",B130)),"Yes","No")</f>
        <v>No</v>
      </c>
    </row>
    <row r="131" spans="1:9" x14ac:dyDescent="0.3">
      <c r="A131" s="1">
        <v>44287</v>
      </c>
      <c r="B131">
        <v>84.78</v>
      </c>
      <c r="C131">
        <v>85.56</v>
      </c>
      <c r="D131">
        <v>84.55</v>
      </c>
      <c r="E131">
        <v>85.26</v>
      </c>
      <c r="F131">
        <v>72.25</v>
      </c>
      <c r="G131">
        <v>116105500</v>
      </c>
      <c r="H131" s="3">
        <f t="shared" si="4"/>
        <v>7.9520089285713969E-3</v>
      </c>
      <c r="I131" t="str">
        <f t="shared" si="6"/>
        <v>No</v>
      </c>
    </row>
    <row r="132" spans="1:9" x14ac:dyDescent="0.3">
      <c r="A132" s="1">
        <v>44317</v>
      </c>
      <c r="B132">
        <v>85.12</v>
      </c>
      <c r="C132">
        <v>85.6</v>
      </c>
      <c r="D132">
        <v>84.66</v>
      </c>
      <c r="E132">
        <v>85.26</v>
      </c>
      <c r="F132">
        <v>72.41</v>
      </c>
      <c r="G132">
        <v>111937200</v>
      </c>
      <c r="H132" s="3">
        <f t="shared" ref="H132:H194" si="7">(F132/F131)-1</f>
        <v>2.2145328719722635E-3</v>
      </c>
      <c r="I132" t="str">
        <f t="shared" si="6"/>
        <v>No</v>
      </c>
    </row>
    <row r="133" spans="1:9" x14ac:dyDescent="0.3">
      <c r="A133" s="1">
        <v>44348</v>
      </c>
      <c r="B133">
        <v>85.07</v>
      </c>
      <c r="C133">
        <v>85.99</v>
      </c>
      <c r="D133">
        <v>84.98</v>
      </c>
      <c r="E133">
        <v>85.89</v>
      </c>
      <c r="F133">
        <v>73.06</v>
      </c>
      <c r="G133">
        <v>147248000</v>
      </c>
      <c r="H133" s="3">
        <f t="shared" si="7"/>
        <v>8.9766606822263562E-3</v>
      </c>
      <c r="I133" t="str">
        <f t="shared" si="6"/>
        <v>No</v>
      </c>
    </row>
    <row r="134" spans="1:9" x14ac:dyDescent="0.3">
      <c r="A134" s="1">
        <v>44378</v>
      </c>
      <c r="B134">
        <v>85.73</v>
      </c>
      <c r="C134">
        <v>87.08</v>
      </c>
      <c r="D134">
        <v>85.63</v>
      </c>
      <c r="E134">
        <v>86.76</v>
      </c>
      <c r="F134">
        <v>73.91</v>
      </c>
      <c r="G134">
        <v>133364900</v>
      </c>
      <c r="H134" s="3">
        <f t="shared" si="7"/>
        <v>1.1634273200109346E-2</v>
      </c>
      <c r="I134" t="str">
        <f t="shared" si="6"/>
        <v>No</v>
      </c>
    </row>
    <row r="135" spans="1:9" x14ac:dyDescent="0.3">
      <c r="A135" s="1">
        <v>44409</v>
      </c>
      <c r="B135">
        <v>86.68</v>
      </c>
      <c r="C135">
        <v>87.05</v>
      </c>
      <c r="D135">
        <v>85.86</v>
      </c>
      <c r="E135">
        <v>86.46</v>
      </c>
      <c r="F135">
        <v>73.77</v>
      </c>
      <c r="G135">
        <v>103779600</v>
      </c>
      <c r="H135" s="3">
        <f t="shared" si="7"/>
        <v>-1.8941956433500273E-3</v>
      </c>
      <c r="I135" t="str">
        <f t="shared" si="6"/>
        <v>No</v>
      </c>
    </row>
    <row r="136" spans="1:9" x14ac:dyDescent="0.3">
      <c r="A136" s="1">
        <v>44440</v>
      </c>
      <c r="B136">
        <v>86.41</v>
      </c>
      <c r="C136">
        <v>86.68</v>
      </c>
      <c r="D136">
        <v>85.38</v>
      </c>
      <c r="E136">
        <v>85.45</v>
      </c>
      <c r="F136">
        <v>73.02</v>
      </c>
      <c r="G136">
        <v>109159200</v>
      </c>
      <c r="H136" s="3">
        <f t="shared" si="7"/>
        <v>-1.0166734444896353E-2</v>
      </c>
      <c r="I136" t="str">
        <f t="shared" si="6"/>
        <v>No</v>
      </c>
    </row>
    <row r="137" spans="1:9" x14ac:dyDescent="0.3">
      <c r="A137" s="1">
        <v>44470</v>
      </c>
      <c r="B137">
        <v>85.46</v>
      </c>
      <c r="C137">
        <v>85.65</v>
      </c>
      <c r="D137">
        <v>84.74</v>
      </c>
      <c r="E137">
        <v>85.38</v>
      </c>
      <c r="F137">
        <v>73.08</v>
      </c>
      <c r="G137">
        <v>119201600</v>
      </c>
      <c r="H137" s="3">
        <f t="shared" si="7"/>
        <v>8.2169268693510489E-4</v>
      </c>
      <c r="I137" t="str">
        <f t="shared" si="6"/>
        <v>No</v>
      </c>
    </row>
    <row r="138" spans="1:9" x14ac:dyDescent="0.3">
      <c r="A138" s="1">
        <v>44501</v>
      </c>
      <c r="B138">
        <v>85.02</v>
      </c>
      <c r="C138">
        <v>86.03</v>
      </c>
      <c r="D138">
        <v>84.43</v>
      </c>
      <c r="E138">
        <v>85.42</v>
      </c>
      <c r="F138">
        <v>73.22</v>
      </c>
      <c r="G138">
        <v>121141500</v>
      </c>
      <c r="H138" s="3">
        <f t="shared" si="7"/>
        <v>1.9157088122605526E-3</v>
      </c>
      <c r="I138" t="str">
        <f t="shared" si="6"/>
        <v>No</v>
      </c>
    </row>
    <row r="139" spans="1:9" x14ac:dyDescent="0.3">
      <c r="A139" s="1">
        <v>44531</v>
      </c>
      <c r="B139">
        <v>85.16</v>
      </c>
      <c r="C139">
        <v>85.83</v>
      </c>
      <c r="D139">
        <v>84.52</v>
      </c>
      <c r="E139">
        <v>84.75</v>
      </c>
      <c r="F139">
        <v>72.760000000000005</v>
      </c>
      <c r="G139">
        <v>142732200</v>
      </c>
      <c r="H139" s="3">
        <f t="shared" si="7"/>
        <v>-6.2824364927615006E-3</v>
      </c>
      <c r="I139" t="str">
        <f t="shared" si="6"/>
        <v>No</v>
      </c>
    </row>
    <row r="140" spans="1:9" x14ac:dyDescent="0.3">
      <c r="A140" s="1">
        <v>44562</v>
      </c>
      <c r="B140">
        <v>84.44</v>
      </c>
      <c r="C140">
        <v>84.44</v>
      </c>
      <c r="D140">
        <v>82.69</v>
      </c>
      <c r="E140">
        <v>83</v>
      </c>
      <c r="F140">
        <v>71.599999999999994</v>
      </c>
      <c r="G140">
        <v>136153200</v>
      </c>
      <c r="H140" s="3">
        <f t="shared" si="7"/>
        <v>-1.5942825728422316E-2</v>
      </c>
      <c r="I140" t="str">
        <f t="shared" si="6"/>
        <v>No</v>
      </c>
    </row>
    <row r="141" spans="1:9" x14ac:dyDescent="0.3">
      <c r="A141" s="1">
        <v>44593</v>
      </c>
      <c r="B141">
        <v>82.89</v>
      </c>
      <c r="C141">
        <v>83.14</v>
      </c>
      <c r="D141">
        <v>80.959999999999994</v>
      </c>
      <c r="E141">
        <v>81.92</v>
      </c>
      <c r="F141">
        <v>70.67</v>
      </c>
      <c r="G141">
        <v>133028400</v>
      </c>
      <c r="H141" s="3">
        <f t="shared" si="7"/>
        <v>-1.2988826815642396E-2</v>
      </c>
      <c r="I141" t="str">
        <f t="shared" si="6"/>
        <v>No</v>
      </c>
    </row>
    <row r="142" spans="1:9" x14ac:dyDescent="0.3">
      <c r="A142" s="1">
        <v>44621</v>
      </c>
      <c r="B142">
        <v>82.04</v>
      </c>
      <c r="C142">
        <v>82.49</v>
      </c>
      <c r="D142">
        <v>78.61</v>
      </c>
      <c r="E142">
        <v>79.540000000000006</v>
      </c>
      <c r="F142">
        <v>68.73</v>
      </c>
      <c r="G142">
        <v>209278100</v>
      </c>
      <c r="H142" s="3">
        <f t="shared" si="7"/>
        <v>-2.7451535304938379E-2</v>
      </c>
      <c r="I142" t="str">
        <f t="shared" si="6"/>
        <v>No</v>
      </c>
    </row>
    <row r="143" spans="1:9" x14ac:dyDescent="0.3">
      <c r="A143" s="1">
        <v>44652</v>
      </c>
      <c r="B143">
        <v>78.83</v>
      </c>
      <c r="C143">
        <v>79.3</v>
      </c>
      <c r="D143">
        <v>76.099999999999994</v>
      </c>
      <c r="E143">
        <v>76.19</v>
      </c>
      <c r="F143">
        <v>65.94</v>
      </c>
      <c r="G143">
        <v>163146400</v>
      </c>
      <c r="H143" s="3">
        <f t="shared" si="7"/>
        <v>-4.059362723701454E-2</v>
      </c>
      <c r="I143" t="str">
        <f t="shared" si="6"/>
        <v>No</v>
      </c>
    </row>
    <row r="144" spans="1:9" x14ac:dyDescent="0.3">
      <c r="A144" s="1">
        <v>44682</v>
      </c>
      <c r="B144">
        <v>75.819999999999993</v>
      </c>
      <c r="C144">
        <v>77.22</v>
      </c>
      <c r="D144">
        <v>75.14</v>
      </c>
      <c r="E144">
        <v>76.680000000000007</v>
      </c>
      <c r="F144">
        <v>66.53</v>
      </c>
      <c r="G144">
        <v>172456200</v>
      </c>
      <c r="H144" s="3">
        <f t="shared" si="7"/>
        <v>8.9475280558084513E-3</v>
      </c>
      <c r="I144" t="str">
        <f t="shared" si="6"/>
        <v>No</v>
      </c>
    </row>
    <row r="145" spans="1:9" x14ac:dyDescent="0.3">
      <c r="A145" s="1">
        <v>44713</v>
      </c>
      <c r="B145">
        <v>76.56</v>
      </c>
      <c r="C145">
        <v>76.64</v>
      </c>
      <c r="D145">
        <v>73.2</v>
      </c>
      <c r="E145">
        <v>75.260000000000005</v>
      </c>
      <c r="F145">
        <v>65.42</v>
      </c>
      <c r="G145">
        <v>149481700</v>
      </c>
      <c r="H145" s="3">
        <f t="shared" si="7"/>
        <v>-1.6684202615361521E-2</v>
      </c>
      <c r="I145" t="str">
        <f t="shared" si="6"/>
        <v>No</v>
      </c>
    </row>
    <row r="146" spans="1:9" x14ac:dyDescent="0.3">
      <c r="A146" s="1">
        <v>44743</v>
      </c>
      <c r="B146">
        <v>75.61</v>
      </c>
      <c r="C146">
        <v>77.17</v>
      </c>
      <c r="D146">
        <v>74.84</v>
      </c>
      <c r="E146">
        <v>76.900000000000006</v>
      </c>
      <c r="F146">
        <v>66.97</v>
      </c>
      <c r="G146">
        <v>109720900</v>
      </c>
      <c r="H146" s="3">
        <f t="shared" si="7"/>
        <v>2.3693060226230411E-2</v>
      </c>
      <c r="I146" t="str">
        <f t="shared" si="6"/>
        <v>No</v>
      </c>
    </row>
    <row r="147" spans="1:9" x14ac:dyDescent="0.3">
      <c r="A147" s="1">
        <v>44774</v>
      </c>
      <c r="B147">
        <v>76.900000000000006</v>
      </c>
      <c r="C147">
        <v>77.180000000000007</v>
      </c>
      <c r="D147">
        <v>74.510000000000005</v>
      </c>
      <c r="E147">
        <v>74.599999999999994</v>
      </c>
      <c r="F147">
        <v>65.099999999999994</v>
      </c>
      <c r="G147">
        <v>128853000</v>
      </c>
      <c r="H147" s="3">
        <f t="shared" si="7"/>
        <v>-2.7922950574884364E-2</v>
      </c>
      <c r="I147" t="str">
        <f t="shared" si="6"/>
        <v>No</v>
      </c>
    </row>
    <row r="148" spans="1:9" x14ac:dyDescent="0.3">
      <c r="A148" s="1">
        <v>44805</v>
      </c>
      <c r="B148">
        <v>74.02</v>
      </c>
      <c r="C148">
        <v>74.48</v>
      </c>
      <c r="D148">
        <v>70.67</v>
      </c>
      <c r="E148">
        <v>71.33</v>
      </c>
      <c r="F148">
        <v>62.37</v>
      </c>
      <c r="G148">
        <v>130951500</v>
      </c>
      <c r="H148" s="3">
        <f t="shared" si="7"/>
        <v>-4.1935483870967682E-2</v>
      </c>
      <c r="I148" t="str">
        <f t="shared" si="6"/>
        <v>No</v>
      </c>
    </row>
    <row r="149" spans="1:9" x14ac:dyDescent="0.3">
      <c r="A149" s="1">
        <v>44835</v>
      </c>
      <c r="B149">
        <v>71.7</v>
      </c>
      <c r="C149">
        <v>72.239999999999995</v>
      </c>
      <c r="D149">
        <v>69.09</v>
      </c>
      <c r="E149">
        <v>70.349999999999994</v>
      </c>
      <c r="F149">
        <v>61.64</v>
      </c>
      <c r="G149">
        <v>150593000</v>
      </c>
      <c r="H149" s="3">
        <f t="shared" si="7"/>
        <v>-1.1704345037678365E-2</v>
      </c>
      <c r="I149" t="str">
        <f t="shared" si="6"/>
        <v>No</v>
      </c>
    </row>
    <row r="150" spans="1:9" x14ac:dyDescent="0.3">
      <c r="A150" s="1">
        <v>44866</v>
      </c>
      <c r="B150">
        <v>70.58</v>
      </c>
      <c r="C150">
        <v>72.77</v>
      </c>
      <c r="D150">
        <v>69.569999999999993</v>
      </c>
      <c r="E150">
        <v>72.760000000000005</v>
      </c>
      <c r="F150">
        <v>63.89</v>
      </c>
      <c r="G150">
        <v>146919400</v>
      </c>
      <c r="H150" s="3">
        <f t="shared" si="7"/>
        <v>3.6502271252433438E-2</v>
      </c>
      <c r="I150" t="str">
        <f t="shared" si="6"/>
        <v>No</v>
      </c>
    </row>
    <row r="151" spans="1:9" x14ac:dyDescent="0.3">
      <c r="A151" s="1">
        <v>44896</v>
      </c>
      <c r="B151">
        <v>72.73</v>
      </c>
      <c r="C151">
        <v>74.150000000000006</v>
      </c>
      <c r="D151">
        <v>71.8</v>
      </c>
      <c r="E151">
        <v>71.84</v>
      </c>
      <c r="F151">
        <v>63.23</v>
      </c>
      <c r="G151">
        <v>160029000</v>
      </c>
      <c r="H151" s="3">
        <f t="shared" si="7"/>
        <v>-1.0330255125997834E-2</v>
      </c>
      <c r="I151" t="str">
        <f t="shared" si="6"/>
        <v>No</v>
      </c>
    </row>
    <row r="152" spans="1:9" x14ac:dyDescent="0.3">
      <c r="A152" s="1">
        <v>44927</v>
      </c>
      <c r="B152">
        <v>72.45</v>
      </c>
      <c r="C152">
        <v>74.66</v>
      </c>
      <c r="D152">
        <v>72.069999999999993</v>
      </c>
      <c r="E152">
        <v>74.22</v>
      </c>
      <c r="F152">
        <v>65.63</v>
      </c>
      <c r="G152">
        <v>114038100</v>
      </c>
      <c r="H152" s="3">
        <f t="shared" si="7"/>
        <v>3.795666613949078E-2</v>
      </c>
      <c r="I152" t="str">
        <f t="shared" si="6"/>
        <v>No</v>
      </c>
    </row>
    <row r="153" spans="1:9" x14ac:dyDescent="0.3">
      <c r="A153" s="1">
        <v>44958</v>
      </c>
      <c r="B153">
        <v>74.16</v>
      </c>
      <c r="C153">
        <v>74.86</v>
      </c>
      <c r="D153">
        <v>71.760000000000005</v>
      </c>
      <c r="E153">
        <v>72.069999999999993</v>
      </c>
      <c r="F153">
        <v>63.73</v>
      </c>
      <c r="G153">
        <v>100778600</v>
      </c>
      <c r="H153" s="3">
        <f t="shared" si="7"/>
        <v>-2.8950175224744745E-2</v>
      </c>
      <c r="I153" t="str">
        <f t="shared" si="6"/>
        <v>No</v>
      </c>
    </row>
    <row r="154" spans="1:9" x14ac:dyDescent="0.3">
      <c r="A154" s="1">
        <v>44986</v>
      </c>
      <c r="B154">
        <v>71.680000000000007</v>
      </c>
      <c r="C154">
        <v>74.42</v>
      </c>
      <c r="D154">
        <v>71.17</v>
      </c>
      <c r="E154">
        <v>73.83</v>
      </c>
      <c r="F154">
        <v>65.44</v>
      </c>
      <c r="G154">
        <v>114696000</v>
      </c>
      <c r="H154" s="3">
        <f t="shared" si="7"/>
        <v>2.6831947277577317E-2</v>
      </c>
      <c r="I154" t="str">
        <f t="shared" si="6"/>
        <v>No</v>
      </c>
    </row>
    <row r="155" spans="1:9" x14ac:dyDescent="0.3">
      <c r="A155" s="1">
        <v>45017</v>
      </c>
      <c r="B155">
        <v>73.58</v>
      </c>
      <c r="C155">
        <v>74.900000000000006</v>
      </c>
      <c r="D155">
        <v>73.150000000000006</v>
      </c>
      <c r="E155">
        <v>74.08</v>
      </c>
      <c r="F155">
        <v>65.81</v>
      </c>
      <c r="G155">
        <v>80593600</v>
      </c>
      <c r="H155" s="3">
        <f t="shared" si="7"/>
        <v>5.6540342298290192E-3</v>
      </c>
      <c r="I155" t="str">
        <f t="shared" si="6"/>
        <v>No</v>
      </c>
    </row>
    <row r="156" spans="1:9" x14ac:dyDescent="0.3">
      <c r="A156" s="1">
        <v>45047</v>
      </c>
      <c r="B156">
        <v>73.599999999999994</v>
      </c>
      <c r="C156">
        <v>74.38</v>
      </c>
      <c r="D156">
        <v>72.069999999999993</v>
      </c>
      <c r="E156">
        <v>73.040000000000006</v>
      </c>
      <c r="F156">
        <v>65.05</v>
      </c>
      <c r="G156">
        <v>104674200</v>
      </c>
      <c r="H156" s="3">
        <f t="shared" si="7"/>
        <v>-1.1548396900167179E-2</v>
      </c>
      <c r="I156" t="str">
        <f t="shared" si="6"/>
        <v>No</v>
      </c>
    </row>
    <row r="157" spans="1:9" x14ac:dyDescent="0.3">
      <c r="A157" s="1">
        <v>45078</v>
      </c>
      <c r="B157">
        <v>73.05</v>
      </c>
      <c r="C157">
        <v>73.19</v>
      </c>
      <c r="D157">
        <v>72.2</v>
      </c>
      <c r="E157">
        <v>72.69</v>
      </c>
      <c r="F157">
        <v>64.89</v>
      </c>
      <c r="G157">
        <v>107503900</v>
      </c>
      <c r="H157" s="3">
        <f t="shared" si="7"/>
        <v>-2.4596464258261896E-3</v>
      </c>
      <c r="I157" t="str">
        <f t="shared" si="6"/>
        <v>No</v>
      </c>
    </row>
    <row r="158" spans="1:9" x14ac:dyDescent="0.3">
      <c r="A158" s="1">
        <v>45108</v>
      </c>
      <c r="B158">
        <v>72.489999999999995</v>
      </c>
      <c r="C158">
        <v>72.98</v>
      </c>
      <c r="D158">
        <v>71.349999999999994</v>
      </c>
      <c r="E158">
        <v>72.42</v>
      </c>
      <c r="F158">
        <v>64.819999999999993</v>
      </c>
      <c r="G158">
        <v>111839700</v>
      </c>
      <c r="H158" s="3">
        <f t="shared" si="7"/>
        <v>-1.0787486515643208E-3</v>
      </c>
      <c r="I158" t="str">
        <f t="shared" si="6"/>
        <v>No</v>
      </c>
    </row>
    <row r="159" spans="1:9" x14ac:dyDescent="0.3">
      <c r="A159" s="1">
        <v>45139</v>
      </c>
      <c r="B159">
        <v>71.930000000000007</v>
      </c>
      <c r="C159">
        <v>72.02</v>
      </c>
      <c r="D159">
        <v>70.45</v>
      </c>
      <c r="E159">
        <v>71.75</v>
      </c>
      <c r="F159">
        <v>64.38</v>
      </c>
      <c r="G159">
        <v>127083400</v>
      </c>
      <c r="H159" s="3">
        <f t="shared" si="7"/>
        <v>-6.7880283863004376E-3</v>
      </c>
      <c r="I159" t="str">
        <f t="shared" si="6"/>
        <v>No</v>
      </c>
    </row>
    <row r="160" spans="1:9" x14ac:dyDescent="0.3">
      <c r="A160" s="1">
        <v>45170</v>
      </c>
      <c r="B160">
        <v>71.55</v>
      </c>
      <c r="C160">
        <v>71.569999999999993</v>
      </c>
      <c r="D160">
        <v>69.38</v>
      </c>
      <c r="E160">
        <v>69.78</v>
      </c>
      <c r="F160">
        <v>62.78</v>
      </c>
      <c r="G160">
        <v>137475900</v>
      </c>
      <c r="H160" s="3">
        <f t="shared" si="7"/>
        <v>-2.4852438645541985E-2</v>
      </c>
      <c r="I160" t="str">
        <f t="shared" si="6"/>
        <v>No</v>
      </c>
    </row>
    <row r="161" spans="1:9" x14ac:dyDescent="0.3">
      <c r="A161" s="1">
        <v>45200</v>
      </c>
      <c r="B161">
        <v>69.319999999999993</v>
      </c>
      <c r="C161">
        <v>69.739999999999995</v>
      </c>
      <c r="D161">
        <v>67.989999999999995</v>
      </c>
      <c r="E161">
        <v>68.53</v>
      </c>
      <c r="F161">
        <v>61.83</v>
      </c>
      <c r="G161">
        <v>172502600</v>
      </c>
      <c r="H161" s="3">
        <f t="shared" si="7"/>
        <v>-1.5132207709461665E-2</v>
      </c>
      <c r="I161" t="str">
        <f t="shared" si="6"/>
        <v>No</v>
      </c>
    </row>
    <row r="162" spans="1:9" x14ac:dyDescent="0.3">
      <c r="A162" s="1">
        <v>45231</v>
      </c>
      <c r="B162">
        <v>68.48</v>
      </c>
      <c r="C162">
        <v>71.7</v>
      </c>
      <c r="D162">
        <v>68.45</v>
      </c>
      <c r="E162">
        <v>71.430000000000007</v>
      </c>
      <c r="F162">
        <v>64.62</v>
      </c>
      <c r="G162">
        <v>142804300</v>
      </c>
      <c r="H162" s="3">
        <f t="shared" si="7"/>
        <v>4.5123726346433912E-2</v>
      </c>
      <c r="I162" t="str">
        <f t="shared" ref="I162:I194" si="8">IF(ISNUMBER(SEARCH("Dividend",B162)),"Yes","No")</f>
        <v>No</v>
      </c>
    </row>
    <row r="163" spans="1:9" x14ac:dyDescent="0.3">
      <c r="A163" s="1">
        <v>45261</v>
      </c>
      <c r="B163">
        <v>71.22</v>
      </c>
      <c r="C163">
        <v>73.92</v>
      </c>
      <c r="D163">
        <v>71.2</v>
      </c>
      <c r="E163">
        <v>73.55</v>
      </c>
      <c r="F163">
        <v>66.739999999999995</v>
      </c>
      <c r="G163">
        <v>161352000</v>
      </c>
      <c r="H163" s="3">
        <f t="shared" si="7"/>
        <v>3.2807180439492267E-2</v>
      </c>
      <c r="I163" t="str">
        <f t="shared" si="8"/>
        <v>No</v>
      </c>
    </row>
    <row r="164" spans="1:9" x14ac:dyDescent="0.3">
      <c r="A164" s="1">
        <v>45292</v>
      </c>
      <c r="B164">
        <v>73.260000000000005</v>
      </c>
      <c r="C164">
        <v>73.64</v>
      </c>
      <c r="D164">
        <v>72.430000000000007</v>
      </c>
      <c r="E164">
        <v>73.430000000000007</v>
      </c>
      <c r="F164">
        <v>67.010000000000005</v>
      </c>
      <c r="G164">
        <v>156729300</v>
      </c>
      <c r="H164" s="3">
        <f t="shared" si="7"/>
        <v>4.0455498951155189E-3</v>
      </c>
      <c r="I164" t="str">
        <f t="shared" si="8"/>
        <v>No</v>
      </c>
    </row>
    <row r="165" spans="1:9" x14ac:dyDescent="0.3">
      <c r="A165" s="1">
        <v>45323</v>
      </c>
      <c r="B165">
        <v>73.510000000000005</v>
      </c>
      <c r="C165">
        <v>73.83</v>
      </c>
      <c r="D165">
        <v>71.739999999999995</v>
      </c>
      <c r="E165">
        <v>72.22</v>
      </c>
      <c r="F165">
        <v>65.900000000000006</v>
      </c>
      <c r="G165">
        <v>150945000</v>
      </c>
      <c r="H165" s="3">
        <f t="shared" si="7"/>
        <v>-1.6564691837039236E-2</v>
      </c>
      <c r="I165" t="str">
        <f t="shared" si="8"/>
        <v>No</v>
      </c>
    </row>
    <row r="166" spans="1:9" x14ac:dyDescent="0.3">
      <c r="A166" s="1">
        <v>45352</v>
      </c>
      <c r="B166">
        <v>71.94</v>
      </c>
      <c r="C166">
        <v>72.97</v>
      </c>
      <c r="D166">
        <v>71.81</v>
      </c>
      <c r="E166">
        <v>72.63</v>
      </c>
      <c r="F166">
        <v>66.47</v>
      </c>
      <c r="G166">
        <v>162564300</v>
      </c>
      <c r="H166" s="3">
        <f t="shared" si="7"/>
        <v>8.6494688922609253E-3</v>
      </c>
      <c r="I166" t="str">
        <f t="shared" si="8"/>
        <v>No</v>
      </c>
    </row>
    <row r="167" spans="1:9" x14ac:dyDescent="0.3">
      <c r="A167" s="1">
        <v>45383</v>
      </c>
      <c r="B167">
        <v>72.150000000000006</v>
      </c>
      <c r="C167">
        <v>72.19</v>
      </c>
      <c r="D167">
        <v>70.37</v>
      </c>
      <c r="E167">
        <v>70.67</v>
      </c>
      <c r="F167">
        <v>64.86</v>
      </c>
      <c r="G167">
        <v>185916400</v>
      </c>
      <c r="H167" s="3">
        <f t="shared" si="7"/>
        <v>-2.422145328719727E-2</v>
      </c>
      <c r="I167" t="str">
        <f t="shared" si="8"/>
        <v>No</v>
      </c>
    </row>
    <row r="168" spans="1:9" x14ac:dyDescent="0.3">
      <c r="A168" s="1">
        <v>45413</v>
      </c>
      <c r="B168">
        <v>70.599999999999994</v>
      </c>
      <c r="C168">
        <v>72.16</v>
      </c>
      <c r="D168">
        <v>70.5</v>
      </c>
      <c r="E168">
        <v>71.64</v>
      </c>
      <c r="F168">
        <v>65.94</v>
      </c>
      <c r="G168">
        <v>109056800</v>
      </c>
      <c r="H168" s="3">
        <f t="shared" si="7"/>
        <v>1.6651248843663202E-2</v>
      </c>
      <c r="I168" t="str">
        <f t="shared" si="8"/>
        <v>No</v>
      </c>
    </row>
    <row r="169" spans="1:9" x14ac:dyDescent="0.3">
      <c r="A169" s="1">
        <v>45444</v>
      </c>
      <c r="B169">
        <v>71.569999999999993</v>
      </c>
      <c r="C169">
        <v>72.739999999999995</v>
      </c>
      <c r="D169">
        <v>71.53</v>
      </c>
      <c r="E169">
        <v>72.05</v>
      </c>
      <c r="F169">
        <v>66.52</v>
      </c>
      <c r="G169">
        <v>118910100</v>
      </c>
      <c r="H169" s="3">
        <f t="shared" si="7"/>
        <v>8.7958750379131256E-3</v>
      </c>
      <c r="I169" t="str">
        <f t="shared" si="8"/>
        <v>No</v>
      </c>
    </row>
    <row r="170" spans="1:9" x14ac:dyDescent="0.3">
      <c r="A170" s="1">
        <v>45474</v>
      </c>
      <c r="B170">
        <v>71.58</v>
      </c>
      <c r="C170">
        <v>73.52</v>
      </c>
      <c r="D170">
        <v>71.400000000000006</v>
      </c>
      <c r="E170">
        <v>73.52</v>
      </c>
      <c r="F170">
        <v>68.09</v>
      </c>
      <c r="G170">
        <v>119894800</v>
      </c>
      <c r="H170" s="3">
        <f t="shared" si="7"/>
        <v>2.360192423331342E-2</v>
      </c>
      <c r="I170" t="str">
        <f t="shared" si="8"/>
        <v>No</v>
      </c>
    </row>
    <row r="171" spans="1:9" x14ac:dyDescent="0.3">
      <c r="A171" s="1">
        <v>45505</v>
      </c>
      <c r="B171">
        <v>73.5</v>
      </c>
      <c r="C171">
        <v>74.849999999999994</v>
      </c>
      <c r="D171">
        <v>73.44</v>
      </c>
      <c r="E171">
        <v>74.36</v>
      </c>
      <c r="F171">
        <v>69.08</v>
      </c>
      <c r="G171">
        <v>115811300</v>
      </c>
      <c r="H171" s="3">
        <f t="shared" si="7"/>
        <v>1.4539579967689731E-2</v>
      </c>
      <c r="I171" t="str">
        <f t="shared" si="8"/>
        <v>No</v>
      </c>
    </row>
    <row r="172" spans="1:9" x14ac:dyDescent="0.3">
      <c r="A172" s="1">
        <v>45536</v>
      </c>
      <c r="B172">
        <v>74.510000000000005</v>
      </c>
      <c r="C172">
        <v>75.67</v>
      </c>
      <c r="D172">
        <v>74.33</v>
      </c>
      <c r="E172">
        <v>75.11</v>
      </c>
      <c r="F172">
        <v>69.989999999999995</v>
      </c>
      <c r="G172">
        <v>129909500</v>
      </c>
      <c r="H172" s="3">
        <f t="shared" si="7"/>
        <v>1.3173132599884063E-2</v>
      </c>
      <c r="I172" t="str">
        <f t="shared" si="8"/>
        <v>No</v>
      </c>
    </row>
    <row r="173" spans="1:9" x14ac:dyDescent="0.3">
      <c r="A173" s="1">
        <v>45566</v>
      </c>
      <c r="B173">
        <v>75.13</v>
      </c>
      <c r="C173">
        <v>75.260000000000005</v>
      </c>
      <c r="D173">
        <v>72.790000000000006</v>
      </c>
      <c r="E173">
        <v>73.05</v>
      </c>
      <c r="F173">
        <v>68.28</v>
      </c>
      <c r="G173">
        <v>131383700</v>
      </c>
      <c r="H173" s="3">
        <f t="shared" si="7"/>
        <v>-2.4432061723103193E-2</v>
      </c>
      <c r="I173" t="str">
        <f t="shared" si="8"/>
        <v>No</v>
      </c>
    </row>
    <row r="174" spans="1:9" x14ac:dyDescent="0.3">
      <c r="A174" s="1">
        <v>45597</v>
      </c>
      <c r="B174">
        <v>73.040000000000006</v>
      </c>
      <c r="C174">
        <v>73.63</v>
      </c>
      <c r="D174">
        <v>72.2</v>
      </c>
      <c r="E174">
        <v>73.599999999999994</v>
      </c>
      <c r="F174">
        <v>68.989999999999995</v>
      </c>
      <c r="G174">
        <v>136947000</v>
      </c>
      <c r="H174" s="3">
        <f t="shared" si="7"/>
        <v>1.0398359695371839E-2</v>
      </c>
      <c r="I174" t="str">
        <f t="shared" si="8"/>
        <v>No</v>
      </c>
    </row>
    <row r="175" spans="1:9" x14ac:dyDescent="0.3">
      <c r="A175" s="1">
        <v>45627</v>
      </c>
      <c r="B175">
        <v>73.290000000000006</v>
      </c>
      <c r="C175">
        <v>73.790000000000006</v>
      </c>
      <c r="D175">
        <v>71.62</v>
      </c>
      <c r="E175">
        <v>71.91</v>
      </c>
      <c r="F175">
        <v>67.62</v>
      </c>
      <c r="G175">
        <v>140724700</v>
      </c>
      <c r="H175" s="3">
        <f t="shared" si="7"/>
        <v>-1.9857950427598081E-2</v>
      </c>
      <c r="I175" t="str">
        <f t="shared" si="8"/>
        <v>No</v>
      </c>
    </row>
    <row r="176" spans="1:9" x14ac:dyDescent="0.3">
      <c r="A176" s="1">
        <v>45658</v>
      </c>
      <c r="B176">
        <v>72.19</v>
      </c>
      <c r="C176">
        <v>72.540000000000006</v>
      </c>
      <c r="D176">
        <v>71.099999999999994</v>
      </c>
      <c r="E176">
        <v>72.34</v>
      </c>
      <c r="F176">
        <v>68.45</v>
      </c>
      <c r="G176">
        <v>139973000</v>
      </c>
      <c r="H176" s="3">
        <f t="shared" si="7"/>
        <v>1.2274475007394203E-2</v>
      </c>
      <c r="I176" t="str">
        <f t="shared" si="8"/>
        <v>No</v>
      </c>
    </row>
    <row r="177" spans="1:9" x14ac:dyDescent="0.3">
      <c r="A177" s="1">
        <v>45689</v>
      </c>
      <c r="B177">
        <v>72.23</v>
      </c>
      <c r="C177">
        <v>73.69</v>
      </c>
      <c r="D177">
        <v>71.75</v>
      </c>
      <c r="E177">
        <v>73.66</v>
      </c>
      <c r="F177">
        <v>69.7</v>
      </c>
      <c r="G177">
        <v>127797900</v>
      </c>
      <c r="H177" s="3">
        <f t="shared" si="7"/>
        <v>1.8261504747991264E-2</v>
      </c>
      <c r="I177" t="str">
        <f t="shared" si="8"/>
        <v>No</v>
      </c>
    </row>
    <row r="178" spans="1:9" x14ac:dyDescent="0.3">
      <c r="A178" s="1">
        <v>45717</v>
      </c>
      <c r="B178">
        <v>73.25</v>
      </c>
      <c r="C178">
        <v>73.75</v>
      </c>
      <c r="D178">
        <v>72.77</v>
      </c>
      <c r="E178">
        <v>73.45</v>
      </c>
      <c r="F178">
        <v>69.73</v>
      </c>
      <c r="G178">
        <v>125920600</v>
      </c>
      <c r="H178" s="3">
        <f t="shared" si="7"/>
        <v>4.3041606886662365E-4</v>
      </c>
      <c r="I178" t="str">
        <f t="shared" si="8"/>
        <v>No</v>
      </c>
    </row>
    <row r="179" spans="1:9" x14ac:dyDescent="0.3">
      <c r="A179" s="1">
        <v>45748</v>
      </c>
      <c r="B179">
        <v>73.22</v>
      </c>
      <c r="C179">
        <v>74.34</v>
      </c>
      <c r="D179">
        <v>71.41</v>
      </c>
      <c r="E179">
        <v>73.5</v>
      </c>
      <c r="F179">
        <v>69.98</v>
      </c>
      <c r="G179">
        <v>186886100</v>
      </c>
      <c r="H179" s="3">
        <f t="shared" si="7"/>
        <v>3.585257421482968E-3</v>
      </c>
      <c r="I179" t="str">
        <f t="shared" si="8"/>
        <v>No</v>
      </c>
    </row>
    <row r="180" spans="1:9" x14ac:dyDescent="0.3">
      <c r="A180" s="1">
        <v>45778</v>
      </c>
      <c r="B180">
        <v>73.34</v>
      </c>
      <c r="C180">
        <v>73.37</v>
      </c>
      <c r="D180">
        <v>71.760000000000005</v>
      </c>
      <c r="E180">
        <v>72.77</v>
      </c>
      <c r="F180">
        <v>69.52</v>
      </c>
      <c r="G180">
        <v>126048400</v>
      </c>
      <c r="H180" s="3">
        <f t="shared" si="7"/>
        <v>-6.5733066590455413E-3</v>
      </c>
      <c r="I180" t="str">
        <f t="shared" si="8"/>
        <v>No</v>
      </c>
    </row>
    <row r="181" spans="1:9" x14ac:dyDescent="0.3">
      <c r="A181" s="1">
        <v>45809</v>
      </c>
      <c r="B181">
        <v>72.349999999999994</v>
      </c>
      <c r="C181">
        <v>73.67</v>
      </c>
      <c r="D181">
        <v>72.19</v>
      </c>
      <c r="E181">
        <v>73.63</v>
      </c>
      <c r="F181">
        <v>70.56</v>
      </c>
      <c r="G181">
        <v>143940100</v>
      </c>
      <c r="H181" s="3">
        <f t="shared" si="7"/>
        <v>1.4959723820483495E-2</v>
      </c>
      <c r="I181" t="str">
        <f t="shared" si="8"/>
        <v>No</v>
      </c>
    </row>
    <row r="182" spans="1:9" x14ac:dyDescent="0.3">
      <c r="A182" s="1">
        <v>45839</v>
      </c>
      <c r="B182">
        <v>73.39</v>
      </c>
      <c r="C182">
        <v>73.45</v>
      </c>
      <c r="D182">
        <v>72.52</v>
      </c>
      <c r="E182">
        <v>73.2</v>
      </c>
      <c r="F182">
        <v>70.38</v>
      </c>
      <c r="G182">
        <v>135310400</v>
      </c>
      <c r="H182" s="3">
        <f t="shared" si="7"/>
        <v>-2.5510204081633514E-3</v>
      </c>
      <c r="I182" t="str">
        <f t="shared" si="8"/>
        <v>No</v>
      </c>
    </row>
    <row r="183" spans="1:9" x14ac:dyDescent="0.3">
      <c r="A183" s="1">
        <v>45870</v>
      </c>
      <c r="B183">
        <v>73.5</v>
      </c>
      <c r="C183">
        <v>73.92</v>
      </c>
      <c r="D183">
        <v>73.290000000000006</v>
      </c>
      <c r="E183">
        <v>73.8</v>
      </c>
      <c r="F183">
        <v>71.19</v>
      </c>
      <c r="G183">
        <v>133835500</v>
      </c>
      <c r="H183" s="3">
        <f t="shared" si="7"/>
        <v>1.1508951406649759E-2</v>
      </c>
      <c r="I183" t="str">
        <f t="shared" si="8"/>
        <v>No</v>
      </c>
    </row>
    <row r="184" spans="1:9" x14ac:dyDescent="0.3">
      <c r="A184" s="1">
        <v>45901</v>
      </c>
      <c r="B184">
        <v>73.34</v>
      </c>
      <c r="C184">
        <v>74.92</v>
      </c>
      <c r="D184">
        <v>73.31</v>
      </c>
      <c r="E184">
        <v>74.37</v>
      </c>
      <c r="F184">
        <v>71.98</v>
      </c>
      <c r="G184">
        <v>140818900</v>
      </c>
      <c r="H184" s="3">
        <f t="shared" si="7"/>
        <v>1.1097064194409478E-2</v>
      </c>
      <c r="I184" t="str">
        <f t="shared" si="8"/>
        <v>No</v>
      </c>
    </row>
    <row r="185" spans="1:9" x14ac:dyDescent="0.3">
      <c r="A185" s="1">
        <v>45931</v>
      </c>
      <c r="B185">
        <v>74.319999999999993</v>
      </c>
      <c r="C185">
        <v>75.150000000000006</v>
      </c>
      <c r="D185">
        <v>74.13</v>
      </c>
      <c r="E185">
        <v>74.58</v>
      </c>
      <c r="F185">
        <v>72.42</v>
      </c>
      <c r="G185">
        <v>179623900</v>
      </c>
      <c r="H185" s="3">
        <f t="shared" si="7"/>
        <v>6.1128091136426477E-3</v>
      </c>
      <c r="I185" t="str">
        <f t="shared" si="8"/>
        <v>No</v>
      </c>
    </row>
    <row r="186" spans="1:9" x14ac:dyDescent="0.3">
      <c r="A186" s="1">
        <v>45962</v>
      </c>
      <c r="B186">
        <v>74.239999999999995</v>
      </c>
      <c r="C186">
        <v>74.900000000000006</v>
      </c>
      <c r="D186">
        <v>74.040000000000006</v>
      </c>
      <c r="E186">
        <v>74.78</v>
      </c>
      <c r="F186">
        <v>72.84</v>
      </c>
      <c r="G186">
        <v>139174800</v>
      </c>
      <c r="H186" s="3">
        <f t="shared" si="7"/>
        <v>5.7995028997515075E-3</v>
      </c>
      <c r="I186" t="str">
        <f t="shared" si="8"/>
        <v>No</v>
      </c>
    </row>
    <row r="187" spans="1:9" x14ac:dyDescent="0.3">
      <c r="A187" s="1">
        <v>45992</v>
      </c>
      <c r="B187">
        <v>74.27</v>
      </c>
      <c r="C187">
        <v>74.47</v>
      </c>
      <c r="D187">
        <v>73.849999999999994</v>
      </c>
      <c r="E187">
        <v>74.069999999999993</v>
      </c>
      <c r="F187">
        <v>72.39</v>
      </c>
      <c r="G187">
        <v>178953400</v>
      </c>
      <c r="H187" s="3">
        <f t="shared" si="7"/>
        <v>-6.1779242174629934E-3</v>
      </c>
      <c r="I187" t="str">
        <f t="shared" si="8"/>
        <v>No</v>
      </c>
    </row>
    <row r="188" spans="1:9" x14ac:dyDescent="0.3">
      <c r="A188" s="1">
        <v>46023</v>
      </c>
      <c r="B188">
        <v>74.13</v>
      </c>
      <c r="C188">
        <v>74.47</v>
      </c>
      <c r="D188">
        <v>73.900000000000006</v>
      </c>
      <c r="E188">
        <v>74.23</v>
      </c>
      <c r="F188">
        <v>73.02</v>
      </c>
      <c r="G188">
        <v>213824800</v>
      </c>
      <c r="H188" s="3">
        <f t="shared" si="7"/>
        <v>8.7028595109821527E-3</v>
      </c>
      <c r="I188" t="str">
        <f t="shared" si="8"/>
        <v>No</v>
      </c>
    </row>
    <row r="189" spans="1:9" x14ac:dyDescent="0.3">
      <c r="A189" s="1">
        <v>46054</v>
      </c>
      <c r="B189">
        <v>74.03</v>
      </c>
      <c r="C189">
        <v>75.23</v>
      </c>
      <c r="D189">
        <v>73.84</v>
      </c>
      <c r="E189">
        <v>75.17</v>
      </c>
      <c r="F189">
        <v>73.95</v>
      </c>
      <c r="G189">
        <v>176447300</v>
      </c>
      <c r="H189" s="3">
        <f t="shared" si="7"/>
        <v>1.2736236647493904E-2</v>
      </c>
      <c r="I189" t="str">
        <f t="shared" si="8"/>
        <v>No</v>
      </c>
    </row>
    <row r="190" spans="1:9" x14ac:dyDescent="0.3">
      <c r="A190" s="1">
        <v>46082</v>
      </c>
      <c r="B190">
        <v>74.72</v>
      </c>
      <c r="C190">
        <v>74.739999999999995</v>
      </c>
      <c r="D190">
        <v>72.94</v>
      </c>
      <c r="E190">
        <v>73.64</v>
      </c>
      <c r="F190">
        <v>72.680000000000007</v>
      </c>
      <c r="G190">
        <v>218813400</v>
      </c>
      <c r="H190" s="3">
        <f t="shared" si="7"/>
        <v>-1.7173766058147355E-2</v>
      </c>
      <c r="I190" t="str">
        <f t="shared" si="8"/>
        <v>No</v>
      </c>
    </row>
    <row r="191" spans="1:9" x14ac:dyDescent="0.3">
      <c r="A191" s="1">
        <v>46113</v>
      </c>
      <c r="B191">
        <v>73.430000000000007</v>
      </c>
      <c r="C191">
        <v>74.150000000000006</v>
      </c>
      <c r="D191">
        <v>73.25</v>
      </c>
      <c r="E191">
        <v>73.5</v>
      </c>
      <c r="F191">
        <v>72.760000000000005</v>
      </c>
      <c r="G191">
        <v>143679700</v>
      </c>
      <c r="H191" s="3">
        <f t="shared" si="7"/>
        <v>1.1007154650521933E-3</v>
      </c>
      <c r="I191" t="str">
        <f t="shared" si="8"/>
        <v>No</v>
      </c>
    </row>
    <row r="192" spans="1:9" x14ac:dyDescent="0.3">
      <c r="A192" s="1">
        <v>46143</v>
      </c>
      <c r="B192">
        <v>73.3</v>
      </c>
      <c r="C192">
        <v>73.650000000000006</v>
      </c>
      <c r="D192">
        <v>72.34</v>
      </c>
      <c r="E192">
        <v>73.459999999999994</v>
      </c>
      <c r="F192">
        <v>72.97</v>
      </c>
      <c r="G192">
        <v>175576800</v>
      </c>
      <c r="H192" s="3">
        <f t="shared" si="7"/>
        <v>2.8862012094557077E-3</v>
      </c>
      <c r="I192" t="str">
        <f t="shared" si="8"/>
        <v>No</v>
      </c>
    </row>
    <row r="193" spans="1:9" x14ac:dyDescent="0.3">
      <c r="A193" s="1">
        <v>46174</v>
      </c>
      <c r="B193">
        <v>73</v>
      </c>
      <c r="C193">
        <v>73.36</v>
      </c>
      <c r="D193">
        <v>72.8</v>
      </c>
      <c r="E193">
        <v>73.239999999999995</v>
      </c>
      <c r="F193">
        <v>72.989999999999995</v>
      </c>
      <c r="G193">
        <v>83996900</v>
      </c>
      <c r="H193" s="3">
        <f t="shared" si="7"/>
        <v>2.7408524050964722E-4</v>
      </c>
      <c r="I193" t="str">
        <f t="shared" si="8"/>
        <v>No</v>
      </c>
    </row>
    <row r="194" spans="1:9" x14ac:dyDescent="0.3">
      <c r="A194" s="1">
        <v>46185</v>
      </c>
      <c r="B194">
        <v>73.209999999999994</v>
      </c>
      <c r="C194">
        <v>73.290000000000006</v>
      </c>
      <c r="D194">
        <v>73.11</v>
      </c>
      <c r="E194">
        <v>73.239999999999995</v>
      </c>
      <c r="F194">
        <v>73.239999999999995</v>
      </c>
      <c r="G194">
        <v>7332963</v>
      </c>
      <c r="H194" s="3">
        <f t="shared" si="7"/>
        <v>3.4251267296889765E-3</v>
      </c>
      <c r="I194" t="str">
        <f t="shared" si="8"/>
        <v>No</v>
      </c>
    </row>
    <row r="196" spans="1:9" x14ac:dyDescent="0.3">
      <c r="G196" s="2" t="s">
        <v>11</v>
      </c>
      <c r="H196" s="4">
        <f>AVERAGE(H3:H194)</f>
        <v>1.9510618042276526E-3</v>
      </c>
      <c r="I196" s="2"/>
    </row>
    <row r="197" spans="1:9" x14ac:dyDescent="0.3">
      <c r="G197" s="2" t="s">
        <v>12</v>
      </c>
      <c r="H197" s="4">
        <f>STDEV(H3:H194)</f>
        <v>1.3211249686634795E-2</v>
      </c>
      <c r="I197" s="2"/>
    </row>
    <row r="198" spans="1:9" x14ac:dyDescent="0.3">
      <c r="G198" s="2"/>
      <c r="H198" s="2"/>
      <c r="I198" s="2"/>
    </row>
  </sheetData>
  <sortState xmlns:xlrd2="http://schemas.microsoft.com/office/spreadsheetml/2017/richdata2" ref="A2:I197">
    <sortCondition ref="A2:A197"/>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4257B-3352-47A0-9949-324F24643039}">
  <dimension ref="A1:D198"/>
  <sheetViews>
    <sheetView workbookViewId="0">
      <pane ySplit="1" topLeftCell="A184" activePane="bottomLeft" state="frozen"/>
      <selection pane="bottomLeft" activeCell="B196" sqref="B196"/>
    </sheetView>
  </sheetViews>
  <sheetFormatPr defaultRowHeight="14.4" x14ac:dyDescent="0.3"/>
  <cols>
    <col min="1" max="1" width="15.44140625" bestFit="1" customWidth="1"/>
  </cols>
  <sheetData>
    <row r="1" spans="1:3" x14ac:dyDescent="0.3">
      <c r="A1" t="s">
        <v>7</v>
      </c>
      <c r="B1" t="s">
        <v>8</v>
      </c>
      <c r="C1" t="s">
        <v>13</v>
      </c>
    </row>
    <row r="2" spans="1:3" x14ac:dyDescent="0.3">
      <c r="A2" s="1">
        <v>40330</v>
      </c>
      <c r="B2">
        <v>0.12</v>
      </c>
      <c r="C2" s="3">
        <f>B2/1200</f>
        <v>9.9999999999999991E-5</v>
      </c>
    </row>
    <row r="3" spans="1:3" x14ac:dyDescent="0.3">
      <c r="A3" s="1">
        <v>40360</v>
      </c>
      <c r="B3">
        <v>0.16</v>
      </c>
      <c r="C3" s="3">
        <f t="shared" ref="C3:C66" si="0">B3/1200</f>
        <v>1.3333333333333334E-4</v>
      </c>
    </row>
    <row r="4" spans="1:3" x14ac:dyDescent="0.3">
      <c r="A4" s="1">
        <v>40391</v>
      </c>
      <c r="B4">
        <v>0.16</v>
      </c>
      <c r="C4" s="3">
        <f t="shared" si="0"/>
        <v>1.3333333333333334E-4</v>
      </c>
    </row>
    <row r="5" spans="1:3" x14ac:dyDescent="0.3">
      <c r="A5" s="1">
        <v>40422</v>
      </c>
      <c r="B5">
        <v>0.15</v>
      </c>
      <c r="C5" s="3">
        <f t="shared" si="0"/>
        <v>1.25E-4</v>
      </c>
    </row>
    <row r="6" spans="1:3" x14ac:dyDescent="0.3">
      <c r="A6" s="1">
        <v>40452</v>
      </c>
      <c r="B6">
        <v>0.13</v>
      </c>
      <c r="C6" s="3">
        <f t="shared" si="0"/>
        <v>1.0833333333333334E-4</v>
      </c>
    </row>
    <row r="7" spans="1:3" x14ac:dyDescent="0.3">
      <c r="A7" s="1">
        <v>40483</v>
      </c>
      <c r="B7">
        <v>0.14000000000000001</v>
      </c>
      <c r="C7" s="3">
        <f t="shared" si="0"/>
        <v>1.1666666666666668E-4</v>
      </c>
    </row>
    <row r="8" spans="1:3" x14ac:dyDescent="0.3">
      <c r="A8" s="1">
        <v>40513</v>
      </c>
      <c r="B8">
        <v>0.14000000000000001</v>
      </c>
      <c r="C8" s="3">
        <f t="shared" si="0"/>
        <v>1.1666666666666668E-4</v>
      </c>
    </row>
    <row r="9" spans="1:3" x14ac:dyDescent="0.3">
      <c r="A9" s="1">
        <v>40544</v>
      </c>
      <c r="B9">
        <v>0.15</v>
      </c>
      <c r="C9" s="3">
        <f t="shared" si="0"/>
        <v>1.25E-4</v>
      </c>
    </row>
    <row r="10" spans="1:3" x14ac:dyDescent="0.3">
      <c r="A10" s="1">
        <v>40575</v>
      </c>
      <c r="B10">
        <v>0.13</v>
      </c>
      <c r="C10" s="3">
        <f t="shared" si="0"/>
        <v>1.0833333333333334E-4</v>
      </c>
    </row>
    <row r="11" spans="1:3" x14ac:dyDescent="0.3">
      <c r="A11" s="1">
        <v>40603</v>
      </c>
      <c r="B11">
        <v>0.1</v>
      </c>
      <c r="C11" s="3">
        <f t="shared" si="0"/>
        <v>8.3333333333333344E-5</v>
      </c>
    </row>
    <row r="12" spans="1:3" x14ac:dyDescent="0.3">
      <c r="A12" s="1">
        <v>40634</v>
      </c>
      <c r="B12">
        <v>0.06</v>
      </c>
      <c r="C12" s="3">
        <f t="shared" si="0"/>
        <v>4.9999999999999996E-5</v>
      </c>
    </row>
    <row r="13" spans="1:3" x14ac:dyDescent="0.3">
      <c r="A13" s="1">
        <v>40664</v>
      </c>
      <c r="B13">
        <v>0.04</v>
      </c>
      <c r="C13" s="3">
        <f t="shared" si="0"/>
        <v>3.3333333333333335E-5</v>
      </c>
    </row>
    <row r="14" spans="1:3" x14ac:dyDescent="0.3">
      <c r="A14" s="1">
        <v>40695</v>
      </c>
      <c r="B14">
        <v>0.04</v>
      </c>
      <c r="C14" s="3">
        <f t="shared" si="0"/>
        <v>3.3333333333333335E-5</v>
      </c>
    </row>
    <row r="15" spans="1:3" x14ac:dyDescent="0.3">
      <c r="A15" s="1">
        <v>40725</v>
      </c>
      <c r="B15">
        <v>0.04</v>
      </c>
      <c r="C15" s="3">
        <f t="shared" si="0"/>
        <v>3.3333333333333335E-5</v>
      </c>
    </row>
    <row r="16" spans="1:3" x14ac:dyDescent="0.3">
      <c r="A16" s="1">
        <v>40756</v>
      </c>
      <c r="B16">
        <v>0.02</v>
      </c>
      <c r="C16" s="3">
        <f t="shared" si="0"/>
        <v>1.6666666666666667E-5</v>
      </c>
    </row>
    <row r="17" spans="1:3" x14ac:dyDescent="0.3">
      <c r="A17" s="1">
        <v>40787</v>
      </c>
      <c r="B17">
        <v>0.01</v>
      </c>
      <c r="C17" s="3">
        <f t="shared" si="0"/>
        <v>8.3333333333333337E-6</v>
      </c>
    </row>
    <row r="18" spans="1:3" x14ac:dyDescent="0.3">
      <c r="A18" s="1">
        <v>40817</v>
      </c>
      <c r="B18">
        <v>0.02</v>
      </c>
      <c r="C18" s="3">
        <f t="shared" si="0"/>
        <v>1.6666666666666667E-5</v>
      </c>
    </row>
    <row r="19" spans="1:3" x14ac:dyDescent="0.3">
      <c r="A19" s="1">
        <v>40848</v>
      </c>
      <c r="B19">
        <v>0.01</v>
      </c>
      <c r="C19" s="3">
        <f t="shared" si="0"/>
        <v>8.3333333333333337E-6</v>
      </c>
    </row>
    <row r="20" spans="1:3" x14ac:dyDescent="0.3">
      <c r="A20" s="1">
        <v>40878</v>
      </c>
      <c r="B20">
        <v>0.01</v>
      </c>
      <c r="C20" s="3">
        <f t="shared" si="0"/>
        <v>8.3333333333333337E-6</v>
      </c>
    </row>
    <row r="21" spans="1:3" x14ac:dyDescent="0.3">
      <c r="A21" s="1">
        <v>40909</v>
      </c>
      <c r="B21">
        <v>0.03</v>
      </c>
      <c r="C21" s="3">
        <f t="shared" si="0"/>
        <v>2.4999999999999998E-5</v>
      </c>
    </row>
    <row r="22" spans="1:3" x14ac:dyDescent="0.3">
      <c r="A22" s="1">
        <v>40940</v>
      </c>
      <c r="B22">
        <v>0.09</v>
      </c>
      <c r="C22" s="3">
        <f t="shared" si="0"/>
        <v>7.4999999999999993E-5</v>
      </c>
    </row>
    <row r="23" spans="1:3" x14ac:dyDescent="0.3">
      <c r="A23" s="1">
        <v>40969</v>
      </c>
      <c r="B23">
        <v>0.08</v>
      </c>
      <c r="C23" s="3">
        <f t="shared" si="0"/>
        <v>6.666666666666667E-5</v>
      </c>
    </row>
    <row r="24" spans="1:3" x14ac:dyDescent="0.3">
      <c r="A24" s="1">
        <v>41000</v>
      </c>
      <c r="B24">
        <v>0.08</v>
      </c>
      <c r="C24" s="3">
        <f t="shared" si="0"/>
        <v>6.666666666666667E-5</v>
      </c>
    </row>
    <row r="25" spans="1:3" x14ac:dyDescent="0.3">
      <c r="A25" s="1">
        <v>41030</v>
      </c>
      <c r="B25">
        <v>0.09</v>
      </c>
      <c r="C25" s="3">
        <f t="shared" si="0"/>
        <v>7.4999999999999993E-5</v>
      </c>
    </row>
    <row r="26" spans="1:3" x14ac:dyDescent="0.3">
      <c r="A26" s="1">
        <v>41061</v>
      </c>
      <c r="B26">
        <v>0.09</v>
      </c>
      <c r="C26" s="3">
        <f t="shared" si="0"/>
        <v>7.4999999999999993E-5</v>
      </c>
    </row>
    <row r="27" spans="1:3" x14ac:dyDescent="0.3">
      <c r="A27" s="1">
        <v>41091</v>
      </c>
      <c r="B27">
        <v>0.1</v>
      </c>
      <c r="C27" s="3">
        <f t="shared" si="0"/>
        <v>8.3333333333333344E-5</v>
      </c>
    </row>
    <row r="28" spans="1:3" x14ac:dyDescent="0.3">
      <c r="A28" s="1">
        <v>41122</v>
      </c>
      <c r="B28">
        <v>0.1</v>
      </c>
      <c r="C28" s="3">
        <f t="shared" si="0"/>
        <v>8.3333333333333344E-5</v>
      </c>
    </row>
    <row r="29" spans="1:3" x14ac:dyDescent="0.3">
      <c r="A29" s="1">
        <v>41153</v>
      </c>
      <c r="B29">
        <v>0.11</v>
      </c>
      <c r="C29" s="3">
        <f t="shared" si="0"/>
        <v>9.1666666666666668E-5</v>
      </c>
    </row>
    <row r="30" spans="1:3" x14ac:dyDescent="0.3">
      <c r="A30" s="1">
        <v>41183</v>
      </c>
      <c r="B30">
        <v>0.1</v>
      </c>
      <c r="C30" s="3">
        <f t="shared" si="0"/>
        <v>8.3333333333333344E-5</v>
      </c>
    </row>
    <row r="31" spans="1:3" x14ac:dyDescent="0.3">
      <c r="A31" s="1">
        <v>41214</v>
      </c>
      <c r="B31">
        <v>0.09</v>
      </c>
      <c r="C31" s="3">
        <f t="shared" si="0"/>
        <v>7.4999999999999993E-5</v>
      </c>
    </row>
    <row r="32" spans="1:3" x14ac:dyDescent="0.3">
      <c r="A32" s="1">
        <v>41244</v>
      </c>
      <c r="B32">
        <v>7.0000000000000007E-2</v>
      </c>
      <c r="C32" s="3">
        <f t="shared" si="0"/>
        <v>5.833333333333334E-5</v>
      </c>
    </row>
    <row r="33" spans="1:3" x14ac:dyDescent="0.3">
      <c r="A33" s="1">
        <v>41275</v>
      </c>
      <c r="B33">
        <v>7.0000000000000007E-2</v>
      </c>
      <c r="C33" s="3">
        <f t="shared" si="0"/>
        <v>5.833333333333334E-5</v>
      </c>
    </row>
    <row r="34" spans="1:3" x14ac:dyDescent="0.3">
      <c r="A34" s="1">
        <v>41306</v>
      </c>
      <c r="B34">
        <v>0.1</v>
      </c>
      <c r="C34" s="3">
        <f t="shared" si="0"/>
        <v>8.3333333333333344E-5</v>
      </c>
    </row>
    <row r="35" spans="1:3" x14ac:dyDescent="0.3">
      <c r="A35" s="1">
        <v>41334</v>
      </c>
      <c r="B35">
        <v>0.09</v>
      </c>
      <c r="C35" s="3">
        <f t="shared" si="0"/>
        <v>7.4999999999999993E-5</v>
      </c>
    </row>
    <row r="36" spans="1:3" x14ac:dyDescent="0.3">
      <c r="A36" s="1">
        <v>41365</v>
      </c>
      <c r="B36">
        <v>0.06</v>
      </c>
      <c r="C36" s="3">
        <f t="shared" si="0"/>
        <v>4.9999999999999996E-5</v>
      </c>
    </row>
    <row r="37" spans="1:3" x14ac:dyDescent="0.3">
      <c r="A37" s="1">
        <v>41395</v>
      </c>
      <c r="B37">
        <v>0.04</v>
      </c>
      <c r="C37" s="3">
        <f t="shared" si="0"/>
        <v>3.3333333333333335E-5</v>
      </c>
    </row>
    <row r="38" spans="1:3" x14ac:dyDescent="0.3">
      <c r="A38" s="1">
        <v>41426</v>
      </c>
      <c r="B38">
        <v>0.05</v>
      </c>
      <c r="C38" s="3">
        <f t="shared" si="0"/>
        <v>4.1666666666666672E-5</v>
      </c>
    </row>
    <row r="39" spans="1:3" x14ac:dyDescent="0.3">
      <c r="A39" s="1">
        <v>41456</v>
      </c>
      <c r="B39">
        <v>0.04</v>
      </c>
      <c r="C39" s="3">
        <f t="shared" si="0"/>
        <v>3.3333333333333335E-5</v>
      </c>
    </row>
    <row r="40" spans="1:3" x14ac:dyDescent="0.3">
      <c r="A40" s="1">
        <v>41487</v>
      </c>
      <c r="B40">
        <v>0.04</v>
      </c>
      <c r="C40" s="3">
        <f t="shared" si="0"/>
        <v>3.3333333333333335E-5</v>
      </c>
    </row>
    <row r="41" spans="1:3" x14ac:dyDescent="0.3">
      <c r="A41" s="1">
        <v>41518</v>
      </c>
      <c r="B41">
        <v>0.02</v>
      </c>
      <c r="C41" s="3">
        <f t="shared" si="0"/>
        <v>1.6666666666666667E-5</v>
      </c>
    </row>
    <row r="42" spans="1:3" x14ac:dyDescent="0.3">
      <c r="A42" s="1">
        <v>41548</v>
      </c>
      <c r="B42">
        <v>0.05</v>
      </c>
      <c r="C42" s="3">
        <f t="shared" si="0"/>
        <v>4.1666666666666672E-5</v>
      </c>
    </row>
    <row r="43" spans="1:3" x14ac:dyDescent="0.3">
      <c r="A43" s="1">
        <v>41579</v>
      </c>
      <c r="B43">
        <v>7.0000000000000007E-2</v>
      </c>
      <c r="C43" s="3">
        <f t="shared" si="0"/>
        <v>5.833333333333334E-5</v>
      </c>
    </row>
    <row r="44" spans="1:3" x14ac:dyDescent="0.3">
      <c r="A44" s="1">
        <v>41609</v>
      </c>
      <c r="B44">
        <v>7.0000000000000007E-2</v>
      </c>
      <c r="C44" s="3">
        <f t="shared" si="0"/>
        <v>5.833333333333334E-5</v>
      </c>
    </row>
    <row r="45" spans="1:3" x14ac:dyDescent="0.3">
      <c r="A45" s="1">
        <v>41640</v>
      </c>
      <c r="B45">
        <v>0.04</v>
      </c>
      <c r="C45" s="3">
        <f t="shared" si="0"/>
        <v>3.3333333333333335E-5</v>
      </c>
    </row>
    <row r="46" spans="1:3" x14ac:dyDescent="0.3">
      <c r="A46" s="1">
        <v>41671</v>
      </c>
      <c r="B46">
        <v>0.05</v>
      </c>
      <c r="C46" s="3">
        <f t="shared" si="0"/>
        <v>4.1666666666666672E-5</v>
      </c>
    </row>
    <row r="47" spans="1:3" x14ac:dyDescent="0.3">
      <c r="A47" s="1">
        <v>41699</v>
      </c>
      <c r="B47">
        <v>0.05</v>
      </c>
      <c r="C47" s="3">
        <f t="shared" si="0"/>
        <v>4.1666666666666672E-5</v>
      </c>
    </row>
    <row r="48" spans="1:3" x14ac:dyDescent="0.3">
      <c r="A48" s="1">
        <v>41730</v>
      </c>
      <c r="B48">
        <v>0.03</v>
      </c>
      <c r="C48" s="3">
        <f t="shared" si="0"/>
        <v>2.4999999999999998E-5</v>
      </c>
    </row>
    <row r="49" spans="1:3" x14ac:dyDescent="0.3">
      <c r="A49" s="1">
        <v>41760</v>
      </c>
      <c r="B49">
        <v>0.03</v>
      </c>
      <c r="C49" s="3">
        <f t="shared" si="0"/>
        <v>2.4999999999999998E-5</v>
      </c>
    </row>
    <row r="50" spans="1:3" x14ac:dyDescent="0.3">
      <c r="A50" s="1">
        <v>41791</v>
      </c>
      <c r="B50">
        <v>0.04</v>
      </c>
      <c r="C50" s="3">
        <f t="shared" si="0"/>
        <v>3.3333333333333335E-5</v>
      </c>
    </row>
    <row r="51" spans="1:3" x14ac:dyDescent="0.3">
      <c r="A51" s="1">
        <v>41821</v>
      </c>
      <c r="B51">
        <v>0.03</v>
      </c>
      <c r="C51" s="3">
        <f t="shared" si="0"/>
        <v>2.4999999999999998E-5</v>
      </c>
    </row>
    <row r="52" spans="1:3" x14ac:dyDescent="0.3">
      <c r="A52" s="1">
        <v>41852</v>
      </c>
      <c r="B52">
        <v>0.03</v>
      </c>
      <c r="C52" s="3">
        <f t="shared" si="0"/>
        <v>2.4999999999999998E-5</v>
      </c>
    </row>
    <row r="53" spans="1:3" x14ac:dyDescent="0.3">
      <c r="A53" s="1">
        <v>41883</v>
      </c>
      <c r="B53">
        <v>0.02</v>
      </c>
      <c r="C53" s="3">
        <f t="shared" si="0"/>
        <v>1.6666666666666667E-5</v>
      </c>
    </row>
    <row r="54" spans="1:3" x14ac:dyDescent="0.3">
      <c r="A54" s="1">
        <v>41913</v>
      </c>
      <c r="B54">
        <v>0.02</v>
      </c>
      <c r="C54" s="3">
        <f t="shared" si="0"/>
        <v>1.6666666666666667E-5</v>
      </c>
    </row>
    <row r="55" spans="1:3" x14ac:dyDescent="0.3">
      <c r="A55" s="1">
        <v>41944</v>
      </c>
      <c r="B55">
        <v>0.02</v>
      </c>
      <c r="C55" s="3">
        <f t="shared" si="0"/>
        <v>1.6666666666666667E-5</v>
      </c>
    </row>
    <row r="56" spans="1:3" x14ac:dyDescent="0.3">
      <c r="A56" s="1">
        <v>41974</v>
      </c>
      <c r="B56">
        <v>0.03</v>
      </c>
      <c r="C56" s="3">
        <f t="shared" si="0"/>
        <v>2.4999999999999998E-5</v>
      </c>
    </row>
    <row r="57" spans="1:3" x14ac:dyDescent="0.3">
      <c r="A57" s="1">
        <v>42005</v>
      </c>
      <c r="B57">
        <v>0.03</v>
      </c>
      <c r="C57" s="3">
        <f t="shared" si="0"/>
        <v>2.4999999999999998E-5</v>
      </c>
    </row>
    <row r="58" spans="1:3" x14ac:dyDescent="0.3">
      <c r="A58" s="1">
        <v>42036</v>
      </c>
      <c r="B58">
        <v>0.02</v>
      </c>
      <c r="C58" s="3">
        <f t="shared" si="0"/>
        <v>1.6666666666666667E-5</v>
      </c>
    </row>
    <row r="59" spans="1:3" x14ac:dyDescent="0.3">
      <c r="A59" s="1">
        <v>42064</v>
      </c>
      <c r="B59">
        <v>0.03</v>
      </c>
      <c r="C59" s="3">
        <f t="shared" si="0"/>
        <v>2.4999999999999998E-5</v>
      </c>
    </row>
    <row r="60" spans="1:3" x14ac:dyDescent="0.3">
      <c r="A60" s="1">
        <v>42095</v>
      </c>
      <c r="B60">
        <v>0.02</v>
      </c>
      <c r="C60" s="3">
        <f t="shared" si="0"/>
        <v>1.6666666666666667E-5</v>
      </c>
    </row>
    <row r="61" spans="1:3" x14ac:dyDescent="0.3">
      <c r="A61" s="1">
        <v>42125</v>
      </c>
      <c r="B61">
        <v>0.02</v>
      </c>
      <c r="C61" s="3">
        <f t="shared" si="0"/>
        <v>1.6666666666666667E-5</v>
      </c>
    </row>
    <row r="62" spans="1:3" x14ac:dyDescent="0.3">
      <c r="A62" s="1">
        <v>42156</v>
      </c>
      <c r="B62">
        <v>0.02</v>
      </c>
      <c r="C62" s="3">
        <f t="shared" si="0"/>
        <v>1.6666666666666667E-5</v>
      </c>
    </row>
    <row r="63" spans="1:3" x14ac:dyDescent="0.3">
      <c r="A63" s="1">
        <v>42186</v>
      </c>
      <c r="B63">
        <v>0.03</v>
      </c>
      <c r="C63" s="3">
        <f t="shared" si="0"/>
        <v>2.4999999999999998E-5</v>
      </c>
    </row>
    <row r="64" spans="1:3" x14ac:dyDescent="0.3">
      <c r="A64" s="1">
        <v>42217</v>
      </c>
      <c r="B64">
        <v>7.0000000000000007E-2</v>
      </c>
      <c r="C64" s="3">
        <f t="shared" si="0"/>
        <v>5.833333333333334E-5</v>
      </c>
    </row>
    <row r="65" spans="1:3" x14ac:dyDescent="0.3">
      <c r="A65" s="1">
        <v>42248</v>
      </c>
      <c r="B65">
        <v>0.02</v>
      </c>
      <c r="C65" s="3">
        <f t="shared" si="0"/>
        <v>1.6666666666666667E-5</v>
      </c>
    </row>
    <row r="66" spans="1:3" x14ac:dyDescent="0.3">
      <c r="A66" s="1">
        <v>42278</v>
      </c>
      <c r="B66">
        <v>0.02</v>
      </c>
      <c r="C66" s="3">
        <f t="shared" si="0"/>
        <v>1.6666666666666667E-5</v>
      </c>
    </row>
    <row r="67" spans="1:3" x14ac:dyDescent="0.3">
      <c r="A67" s="1">
        <v>42309</v>
      </c>
      <c r="B67">
        <v>0.12</v>
      </c>
      <c r="C67" s="3">
        <f t="shared" ref="C67:C130" si="1">B67/1200</f>
        <v>9.9999999999999991E-5</v>
      </c>
    </row>
    <row r="68" spans="1:3" x14ac:dyDescent="0.3">
      <c r="A68" s="1">
        <v>42339</v>
      </c>
      <c r="B68">
        <v>0.23</v>
      </c>
      <c r="C68" s="3">
        <f t="shared" si="1"/>
        <v>1.9166666666666667E-4</v>
      </c>
    </row>
    <row r="69" spans="1:3" x14ac:dyDescent="0.3">
      <c r="A69" s="1">
        <v>42370</v>
      </c>
      <c r="B69">
        <v>0.26</v>
      </c>
      <c r="C69" s="3">
        <f t="shared" si="1"/>
        <v>2.1666666666666668E-4</v>
      </c>
    </row>
    <row r="70" spans="1:3" x14ac:dyDescent="0.3">
      <c r="A70" s="1">
        <v>42401</v>
      </c>
      <c r="B70">
        <v>0.31</v>
      </c>
      <c r="C70" s="3">
        <f t="shared" si="1"/>
        <v>2.5833333333333334E-4</v>
      </c>
    </row>
    <row r="71" spans="1:3" x14ac:dyDescent="0.3">
      <c r="A71" s="1">
        <v>42430</v>
      </c>
      <c r="B71">
        <v>0.28999999999999998</v>
      </c>
      <c r="C71" s="3">
        <f t="shared" si="1"/>
        <v>2.4166666666666664E-4</v>
      </c>
    </row>
    <row r="72" spans="1:3" x14ac:dyDescent="0.3">
      <c r="A72" s="1">
        <v>42461</v>
      </c>
      <c r="B72">
        <v>0.23</v>
      </c>
      <c r="C72" s="3">
        <f t="shared" si="1"/>
        <v>1.9166666666666667E-4</v>
      </c>
    </row>
    <row r="73" spans="1:3" x14ac:dyDescent="0.3">
      <c r="A73" s="1">
        <v>42491</v>
      </c>
      <c r="B73">
        <v>0.27</v>
      </c>
      <c r="C73" s="3">
        <f t="shared" si="1"/>
        <v>2.2500000000000002E-4</v>
      </c>
    </row>
    <row r="74" spans="1:3" x14ac:dyDescent="0.3">
      <c r="A74" s="1">
        <v>42522</v>
      </c>
      <c r="B74">
        <v>0.27</v>
      </c>
      <c r="C74" s="3">
        <f t="shared" si="1"/>
        <v>2.2500000000000002E-4</v>
      </c>
    </row>
    <row r="75" spans="1:3" x14ac:dyDescent="0.3">
      <c r="A75" s="1">
        <v>42552</v>
      </c>
      <c r="B75">
        <v>0.3</v>
      </c>
      <c r="C75" s="3">
        <f t="shared" si="1"/>
        <v>2.5000000000000001E-4</v>
      </c>
    </row>
    <row r="76" spans="1:3" x14ac:dyDescent="0.3">
      <c r="A76" s="1">
        <v>42583</v>
      </c>
      <c r="B76">
        <v>0.3</v>
      </c>
      <c r="C76" s="3">
        <f t="shared" si="1"/>
        <v>2.5000000000000001E-4</v>
      </c>
    </row>
    <row r="77" spans="1:3" x14ac:dyDescent="0.3">
      <c r="A77" s="1">
        <v>42614</v>
      </c>
      <c r="B77">
        <v>0.28999999999999998</v>
      </c>
      <c r="C77" s="3">
        <f t="shared" si="1"/>
        <v>2.4166666666666664E-4</v>
      </c>
    </row>
    <row r="78" spans="1:3" x14ac:dyDescent="0.3">
      <c r="A78" s="1">
        <v>42644</v>
      </c>
      <c r="B78">
        <v>0.33</v>
      </c>
      <c r="C78" s="3">
        <f t="shared" si="1"/>
        <v>2.7500000000000002E-4</v>
      </c>
    </row>
    <row r="79" spans="1:3" x14ac:dyDescent="0.3">
      <c r="A79" s="1">
        <v>42675</v>
      </c>
      <c r="B79">
        <v>0.45</v>
      </c>
      <c r="C79" s="3">
        <f t="shared" si="1"/>
        <v>3.7500000000000001E-4</v>
      </c>
    </row>
    <row r="80" spans="1:3" x14ac:dyDescent="0.3">
      <c r="A80" s="1">
        <v>42705</v>
      </c>
      <c r="B80">
        <v>0.51</v>
      </c>
      <c r="C80" s="3">
        <f t="shared" si="1"/>
        <v>4.2500000000000003E-4</v>
      </c>
    </row>
    <row r="81" spans="1:3" x14ac:dyDescent="0.3">
      <c r="A81" s="1">
        <v>42736</v>
      </c>
      <c r="B81">
        <v>0.51</v>
      </c>
      <c r="C81" s="3">
        <f t="shared" si="1"/>
        <v>4.2500000000000003E-4</v>
      </c>
    </row>
    <row r="82" spans="1:3" x14ac:dyDescent="0.3">
      <c r="A82" s="1">
        <v>42767</v>
      </c>
      <c r="B82">
        <v>0.52</v>
      </c>
      <c r="C82" s="3">
        <f t="shared" si="1"/>
        <v>4.3333333333333337E-4</v>
      </c>
    </row>
    <row r="83" spans="1:3" x14ac:dyDescent="0.3">
      <c r="A83" s="1">
        <v>42795</v>
      </c>
      <c r="B83">
        <v>0.74</v>
      </c>
      <c r="C83" s="3">
        <f t="shared" si="1"/>
        <v>6.1666666666666662E-4</v>
      </c>
    </row>
    <row r="84" spans="1:3" x14ac:dyDescent="0.3">
      <c r="A84" s="1">
        <v>42826</v>
      </c>
      <c r="B84">
        <v>0.8</v>
      </c>
      <c r="C84" s="3">
        <f t="shared" si="1"/>
        <v>6.6666666666666675E-4</v>
      </c>
    </row>
    <row r="85" spans="1:3" x14ac:dyDescent="0.3">
      <c r="A85" s="1">
        <v>42856</v>
      </c>
      <c r="B85">
        <v>0.89</v>
      </c>
      <c r="C85" s="3">
        <f t="shared" si="1"/>
        <v>7.4166666666666662E-4</v>
      </c>
    </row>
    <row r="86" spans="1:3" x14ac:dyDescent="0.3">
      <c r="A86" s="1">
        <v>42887</v>
      </c>
      <c r="B86">
        <v>0.98</v>
      </c>
      <c r="C86" s="3">
        <f t="shared" si="1"/>
        <v>8.166666666666666E-4</v>
      </c>
    </row>
    <row r="87" spans="1:3" x14ac:dyDescent="0.3">
      <c r="A87" s="1">
        <v>42917</v>
      </c>
      <c r="B87">
        <v>1.07</v>
      </c>
      <c r="C87" s="3">
        <f t="shared" si="1"/>
        <v>8.9166666666666669E-4</v>
      </c>
    </row>
    <row r="88" spans="1:3" x14ac:dyDescent="0.3">
      <c r="A88" s="1">
        <v>42948</v>
      </c>
      <c r="B88">
        <v>1.01</v>
      </c>
      <c r="C88" s="3">
        <f t="shared" si="1"/>
        <v>8.4166666666666667E-4</v>
      </c>
    </row>
    <row r="89" spans="1:3" x14ac:dyDescent="0.3">
      <c r="A89" s="1">
        <v>42979</v>
      </c>
      <c r="B89">
        <v>1.03</v>
      </c>
      <c r="C89" s="3">
        <f t="shared" si="1"/>
        <v>8.5833333333333334E-4</v>
      </c>
    </row>
    <row r="90" spans="1:3" x14ac:dyDescent="0.3">
      <c r="A90" s="1">
        <v>43009</v>
      </c>
      <c r="B90">
        <v>1.07</v>
      </c>
      <c r="C90" s="3">
        <f t="shared" si="1"/>
        <v>8.9166666666666669E-4</v>
      </c>
    </row>
    <row r="91" spans="1:3" x14ac:dyDescent="0.3">
      <c r="A91" s="1">
        <v>43040</v>
      </c>
      <c r="B91">
        <v>1.23</v>
      </c>
      <c r="C91" s="3">
        <f t="shared" si="1"/>
        <v>1.0250000000000001E-3</v>
      </c>
    </row>
    <row r="92" spans="1:3" x14ac:dyDescent="0.3">
      <c r="A92" s="1">
        <v>43070</v>
      </c>
      <c r="B92">
        <v>1.32</v>
      </c>
      <c r="C92" s="3">
        <f t="shared" si="1"/>
        <v>1.1000000000000001E-3</v>
      </c>
    </row>
    <row r="93" spans="1:3" x14ac:dyDescent="0.3">
      <c r="A93" s="1">
        <v>43101</v>
      </c>
      <c r="B93">
        <v>1.41</v>
      </c>
      <c r="C93" s="3">
        <f t="shared" si="1"/>
        <v>1.1749999999999998E-3</v>
      </c>
    </row>
    <row r="94" spans="1:3" x14ac:dyDescent="0.3">
      <c r="A94" s="1">
        <v>43132</v>
      </c>
      <c r="B94">
        <v>1.57</v>
      </c>
      <c r="C94" s="3">
        <f t="shared" si="1"/>
        <v>1.3083333333333334E-3</v>
      </c>
    </row>
    <row r="95" spans="1:3" x14ac:dyDescent="0.3">
      <c r="A95" s="1">
        <v>43160</v>
      </c>
      <c r="B95">
        <v>1.7</v>
      </c>
      <c r="C95" s="3">
        <f t="shared" si="1"/>
        <v>1.4166666666666666E-3</v>
      </c>
    </row>
    <row r="96" spans="1:3" x14ac:dyDescent="0.3">
      <c r="A96" s="1">
        <v>43191</v>
      </c>
      <c r="B96">
        <v>1.76</v>
      </c>
      <c r="C96" s="3">
        <f t="shared" si="1"/>
        <v>1.4666666666666667E-3</v>
      </c>
    </row>
    <row r="97" spans="1:3" x14ac:dyDescent="0.3">
      <c r="A97" s="1">
        <v>43221</v>
      </c>
      <c r="B97">
        <v>1.86</v>
      </c>
      <c r="C97" s="3">
        <f t="shared" si="1"/>
        <v>1.5500000000000002E-3</v>
      </c>
    </row>
    <row r="98" spans="1:3" x14ac:dyDescent="0.3">
      <c r="A98" s="1">
        <v>43252</v>
      </c>
      <c r="B98">
        <v>1.9</v>
      </c>
      <c r="C98" s="3">
        <f t="shared" si="1"/>
        <v>1.5833333333333333E-3</v>
      </c>
    </row>
    <row r="99" spans="1:3" x14ac:dyDescent="0.3">
      <c r="A99" s="1">
        <v>43282</v>
      </c>
      <c r="B99">
        <v>1.96</v>
      </c>
      <c r="C99" s="3">
        <f t="shared" si="1"/>
        <v>1.6333333333333332E-3</v>
      </c>
    </row>
    <row r="100" spans="1:3" x14ac:dyDescent="0.3">
      <c r="A100" s="1">
        <v>43313</v>
      </c>
      <c r="B100">
        <v>2.0299999999999998</v>
      </c>
      <c r="C100" s="3">
        <f t="shared" si="1"/>
        <v>1.6916666666666664E-3</v>
      </c>
    </row>
    <row r="101" spans="1:3" x14ac:dyDescent="0.3">
      <c r="A101" s="1">
        <v>43344</v>
      </c>
      <c r="B101">
        <v>2.13</v>
      </c>
      <c r="C101" s="3">
        <f t="shared" si="1"/>
        <v>1.7749999999999999E-3</v>
      </c>
    </row>
    <row r="102" spans="1:3" x14ac:dyDescent="0.3">
      <c r="A102" s="1">
        <v>43374</v>
      </c>
      <c r="B102">
        <v>2.25</v>
      </c>
      <c r="C102" s="3">
        <f t="shared" si="1"/>
        <v>1.8749999999999999E-3</v>
      </c>
    </row>
    <row r="103" spans="1:3" x14ac:dyDescent="0.3">
      <c r="A103" s="1">
        <v>43405</v>
      </c>
      <c r="B103">
        <v>2.33</v>
      </c>
      <c r="C103" s="3">
        <f t="shared" si="1"/>
        <v>1.9416666666666666E-3</v>
      </c>
    </row>
    <row r="104" spans="1:3" x14ac:dyDescent="0.3">
      <c r="A104" s="1">
        <v>43435</v>
      </c>
      <c r="B104">
        <v>2.37</v>
      </c>
      <c r="C104" s="3">
        <f t="shared" si="1"/>
        <v>1.9750000000000002E-3</v>
      </c>
    </row>
    <row r="105" spans="1:3" x14ac:dyDescent="0.3">
      <c r="A105" s="1">
        <v>43466</v>
      </c>
      <c r="B105">
        <v>2.37</v>
      </c>
      <c r="C105" s="3">
        <f t="shared" si="1"/>
        <v>1.9750000000000002E-3</v>
      </c>
    </row>
    <row r="106" spans="1:3" x14ac:dyDescent="0.3">
      <c r="A106" s="1">
        <v>43497</v>
      </c>
      <c r="B106">
        <v>2.39</v>
      </c>
      <c r="C106" s="3">
        <f t="shared" si="1"/>
        <v>1.9916666666666668E-3</v>
      </c>
    </row>
    <row r="107" spans="1:3" x14ac:dyDescent="0.3">
      <c r="A107" s="1">
        <v>43525</v>
      </c>
      <c r="B107">
        <v>2.4</v>
      </c>
      <c r="C107" s="3">
        <f t="shared" si="1"/>
        <v>2E-3</v>
      </c>
    </row>
    <row r="108" spans="1:3" x14ac:dyDescent="0.3">
      <c r="A108" s="1">
        <v>43556</v>
      </c>
      <c r="B108">
        <v>2.38</v>
      </c>
      <c r="C108" s="3">
        <f t="shared" si="1"/>
        <v>1.983333333333333E-3</v>
      </c>
    </row>
    <row r="109" spans="1:3" x14ac:dyDescent="0.3">
      <c r="A109" s="1">
        <v>43586</v>
      </c>
      <c r="B109">
        <v>2.35</v>
      </c>
      <c r="C109" s="3">
        <f t="shared" si="1"/>
        <v>1.9583333333333332E-3</v>
      </c>
    </row>
    <row r="110" spans="1:3" x14ac:dyDescent="0.3">
      <c r="A110" s="1">
        <v>43617</v>
      </c>
      <c r="B110">
        <v>2.17</v>
      </c>
      <c r="C110" s="3">
        <f t="shared" si="1"/>
        <v>1.8083333333333332E-3</v>
      </c>
    </row>
    <row r="111" spans="1:3" x14ac:dyDescent="0.3">
      <c r="A111" s="1">
        <v>43647</v>
      </c>
      <c r="B111">
        <v>2.1</v>
      </c>
      <c r="C111" s="3">
        <f t="shared" si="1"/>
        <v>1.75E-3</v>
      </c>
    </row>
    <row r="112" spans="1:3" x14ac:dyDescent="0.3">
      <c r="A112" s="1">
        <v>43678</v>
      </c>
      <c r="B112">
        <v>1.95</v>
      </c>
      <c r="C112" s="3">
        <f t="shared" si="1"/>
        <v>1.6249999999999999E-3</v>
      </c>
    </row>
    <row r="113" spans="1:3" x14ac:dyDescent="0.3">
      <c r="A113" s="1">
        <v>43709</v>
      </c>
      <c r="B113">
        <v>1.89</v>
      </c>
      <c r="C113" s="3">
        <f t="shared" si="1"/>
        <v>1.575E-3</v>
      </c>
    </row>
    <row r="114" spans="1:3" x14ac:dyDescent="0.3">
      <c r="A114" s="1">
        <v>43739</v>
      </c>
      <c r="B114">
        <v>1.65</v>
      </c>
      <c r="C114" s="3">
        <f t="shared" si="1"/>
        <v>1.3749999999999999E-3</v>
      </c>
    </row>
    <row r="115" spans="1:3" x14ac:dyDescent="0.3">
      <c r="A115" s="1">
        <v>43770</v>
      </c>
      <c r="B115">
        <v>1.54</v>
      </c>
      <c r="C115" s="3">
        <f t="shared" si="1"/>
        <v>1.2833333333333334E-3</v>
      </c>
    </row>
    <row r="116" spans="1:3" x14ac:dyDescent="0.3">
      <c r="A116" s="1">
        <v>43800</v>
      </c>
      <c r="B116">
        <v>1.54</v>
      </c>
      <c r="C116" s="3">
        <f t="shared" si="1"/>
        <v>1.2833333333333334E-3</v>
      </c>
    </row>
    <row r="117" spans="1:3" x14ac:dyDescent="0.3">
      <c r="A117" s="1">
        <v>43831</v>
      </c>
      <c r="B117">
        <v>1.52</v>
      </c>
      <c r="C117" s="3">
        <f t="shared" si="1"/>
        <v>1.2666666666666666E-3</v>
      </c>
    </row>
    <row r="118" spans="1:3" x14ac:dyDescent="0.3">
      <c r="A118" s="1">
        <v>43862</v>
      </c>
      <c r="B118">
        <v>1.52</v>
      </c>
      <c r="C118" s="3">
        <f t="shared" si="1"/>
        <v>1.2666666666666666E-3</v>
      </c>
    </row>
    <row r="119" spans="1:3" x14ac:dyDescent="0.3">
      <c r="A119" s="1">
        <v>43891</v>
      </c>
      <c r="B119">
        <v>0.28999999999999998</v>
      </c>
      <c r="C119" s="3">
        <f t="shared" si="1"/>
        <v>2.4166666666666664E-4</v>
      </c>
    </row>
    <row r="120" spans="1:3" x14ac:dyDescent="0.3">
      <c r="A120" s="1">
        <v>43922</v>
      </c>
      <c r="B120">
        <v>0.14000000000000001</v>
      </c>
      <c r="C120" s="3">
        <f t="shared" si="1"/>
        <v>1.1666666666666668E-4</v>
      </c>
    </row>
    <row r="121" spans="1:3" x14ac:dyDescent="0.3">
      <c r="A121" s="1">
        <v>43952</v>
      </c>
      <c r="B121">
        <v>0.13</v>
      </c>
      <c r="C121" s="3">
        <f t="shared" si="1"/>
        <v>1.0833333333333334E-4</v>
      </c>
    </row>
    <row r="122" spans="1:3" x14ac:dyDescent="0.3">
      <c r="A122" s="1">
        <v>43983</v>
      </c>
      <c r="B122">
        <v>0.16</v>
      </c>
      <c r="C122" s="3">
        <f t="shared" si="1"/>
        <v>1.3333333333333334E-4</v>
      </c>
    </row>
    <row r="123" spans="1:3" x14ac:dyDescent="0.3">
      <c r="A123" s="1">
        <v>44013</v>
      </c>
      <c r="B123">
        <v>0.13</v>
      </c>
      <c r="C123" s="3">
        <f t="shared" si="1"/>
        <v>1.0833333333333334E-4</v>
      </c>
    </row>
    <row r="124" spans="1:3" x14ac:dyDescent="0.3">
      <c r="A124" s="1">
        <v>44044</v>
      </c>
      <c r="B124">
        <v>0.1</v>
      </c>
      <c r="C124" s="3">
        <f t="shared" si="1"/>
        <v>8.3333333333333344E-5</v>
      </c>
    </row>
    <row r="125" spans="1:3" x14ac:dyDescent="0.3">
      <c r="A125" s="1">
        <v>44075</v>
      </c>
      <c r="B125">
        <v>0.11</v>
      </c>
      <c r="C125" s="3">
        <f t="shared" si="1"/>
        <v>9.1666666666666668E-5</v>
      </c>
    </row>
    <row r="126" spans="1:3" x14ac:dyDescent="0.3">
      <c r="A126" s="1">
        <v>44105</v>
      </c>
      <c r="B126">
        <v>0.1</v>
      </c>
      <c r="C126" s="3">
        <f t="shared" si="1"/>
        <v>8.3333333333333344E-5</v>
      </c>
    </row>
    <row r="127" spans="1:3" x14ac:dyDescent="0.3">
      <c r="A127" s="1">
        <v>44136</v>
      </c>
      <c r="B127">
        <v>0.09</v>
      </c>
      <c r="C127" s="3">
        <f t="shared" si="1"/>
        <v>7.4999999999999993E-5</v>
      </c>
    </row>
    <row r="128" spans="1:3" x14ac:dyDescent="0.3">
      <c r="A128" s="1">
        <v>44166</v>
      </c>
      <c r="B128">
        <v>0.09</v>
      </c>
      <c r="C128" s="3">
        <f t="shared" si="1"/>
        <v>7.4999999999999993E-5</v>
      </c>
    </row>
    <row r="129" spans="1:3" x14ac:dyDescent="0.3">
      <c r="A129" s="1">
        <v>44197</v>
      </c>
      <c r="B129">
        <v>0.08</v>
      </c>
      <c r="C129" s="3">
        <f t="shared" si="1"/>
        <v>6.666666666666667E-5</v>
      </c>
    </row>
    <row r="130" spans="1:3" x14ac:dyDescent="0.3">
      <c r="A130" s="1">
        <v>44228</v>
      </c>
      <c r="B130">
        <v>0.04</v>
      </c>
      <c r="C130" s="3">
        <f t="shared" si="1"/>
        <v>3.3333333333333335E-5</v>
      </c>
    </row>
    <row r="131" spans="1:3" x14ac:dyDescent="0.3">
      <c r="A131" s="1">
        <v>44256</v>
      </c>
      <c r="B131">
        <v>0.03</v>
      </c>
      <c r="C131" s="3">
        <f t="shared" ref="C131:C193" si="2">B131/1200</f>
        <v>2.4999999999999998E-5</v>
      </c>
    </row>
    <row r="132" spans="1:3" x14ac:dyDescent="0.3">
      <c r="A132" s="1">
        <v>44287</v>
      </c>
      <c r="B132">
        <v>0.02</v>
      </c>
      <c r="C132" s="3">
        <f t="shared" si="2"/>
        <v>1.6666666666666667E-5</v>
      </c>
    </row>
    <row r="133" spans="1:3" x14ac:dyDescent="0.3">
      <c r="A133" s="1">
        <v>44317</v>
      </c>
      <c r="B133">
        <v>0.02</v>
      </c>
      <c r="C133" s="3">
        <f t="shared" si="2"/>
        <v>1.6666666666666667E-5</v>
      </c>
    </row>
    <row r="134" spans="1:3" x14ac:dyDescent="0.3">
      <c r="A134" s="1">
        <v>44348</v>
      </c>
      <c r="B134">
        <v>0.04</v>
      </c>
      <c r="C134" s="3">
        <f t="shared" si="2"/>
        <v>3.3333333333333335E-5</v>
      </c>
    </row>
    <row r="135" spans="1:3" x14ac:dyDescent="0.3">
      <c r="A135" s="1">
        <v>44378</v>
      </c>
      <c r="B135">
        <v>0.05</v>
      </c>
      <c r="C135" s="3">
        <f t="shared" si="2"/>
        <v>4.1666666666666672E-5</v>
      </c>
    </row>
    <row r="136" spans="1:3" x14ac:dyDescent="0.3">
      <c r="A136" s="1">
        <v>44409</v>
      </c>
      <c r="B136">
        <v>0.05</v>
      </c>
      <c r="C136" s="3">
        <f t="shared" si="2"/>
        <v>4.1666666666666672E-5</v>
      </c>
    </row>
    <row r="137" spans="1:3" x14ac:dyDescent="0.3">
      <c r="A137" s="1">
        <v>44440</v>
      </c>
      <c r="B137">
        <v>0.04</v>
      </c>
      <c r="C137" s="3">
        <f t="shared" si="2"/>
        <v>3.3333333333333335E-5</v>
      </c>
    </row>
    <row r="138" spans="1:3" x14ac:dyDescent="0.3">
      <c r="A138" s="1">
        <v>44470</v>
      </c>
      <c r="B138">
        <v>0.05</v>
      </c>
      <c r="C138" s="3">
        <f t="shared" si="2"/>
        <v>4.1666666666666672E-5</v>
      </c>
    </row>
    <row r="139" spans="1:3" x14ac:dyDescent="0.3">
      <c r="A139" s="1">
        <v>44501</v>
      </c>
      <c r="B139">
        <v>0.05</v>
      </c>
      <c r="C139" s="3">
        <f t="shared" si="2"/>
        <v>4.1666666666666672E-5</v>
      </c>
    </row>
    <row r="140" spans="1:3" x14ac:dyDescent="0.3">
      <c r="A140" s="1">
        <v>44531</v>
      </c>
      <c r="B140">
        <v>0.06</v>
      </c>
      <c r="C140" s="3">
        <f t="shared" si="2"/>
        <v>4.9999999999999996E-5</v>
      </c>
    </row>
    <row r="141" spans="1:3" x14ac:dyDescent="0.3">
      <c r="A141" s="1">
        <v>44562</v>
      </c>
      <c r="B141">
        <v>0.15</v>
      </c>
      <c r="C141" s="3">
        <f t="shared" si="2"/>
        <v>1.25E-4</v>
      </c>
    </row>
    <row r="142" spans="1:3" x14ac:dyDescent="0.3">
      <c r="A142" s="1">
        <v>44593</v>
      </c>
      <c r="B142">
        <v>0.33</v>
      </c>
      <c r="C142" s="3">
        <f t="shared" si="2"/>
        <v>2.7500000000000002E-4</v>
      </c>
    </row>
    <row r="143" spans="1:3" x14ac:dyDescent="0.3">
      <c r="A143" s="1">
        <v>44621</v>
      </c>
      <c r="B143">
        <v>0.44</v>
      </c>
      <c r="C143" s="3">
        <f t="shared" si="2"/>
        <v>3.6666666666666667E-4</v>
      </c>
    </row>
    <row r="144" spans="1:3" x14ac:dyDescent="0.3">
      <c r="A144" s="1">
        <v>44652</v>
      </c>
      <c r="B144">
        <v>0.76</v>
      </c>
      <c r="C144" s="3">
        <f t="shared" si="2"/>
        <v>6.333333333333333E-4</v>
      </c>
    </row>
    <row r="145" spans="1:3" x14ac:dyDescent="0.3">
      <c r="A145" s="1">
        <v>44682</v>
      </c>
      <c r="B145">
        <v>0.98</v>
      </c>
      <c r="C145" s="3">
        <f t="shared" si="2"/>
        <v>8.166666666666666E-4</v>
      </c>
    </row>
    <row r="146" spans="1:3" x14ac:dyDescent="0.3">
      <c r="A146" s="1">
        <v>44713</v>
      </c>
      <c r="B146">
        <v>1.49</v>
      </c>
      <c r="C146" s="3">
        <f t="shared" si="2"/>
        <v>1.2416666666666667E-3</v>
      </c>
    </row>
    <row r="147" spans="1:3" x14ac:dyDescent="0.3">
      <c r="A147" s="1">
        <v>44743</v>
      </c>
      <c r="B147">
        <v>2.23</v>
      </c>
      <c r="C147" s="3">
        <f t="shared" si="2"/>
        <v>1.8583333333333334E-3</v>
      </c>
    </row>
    <row r="148" spans="1:3" x14ac:dyDescent="0.3">
      <c r="A148" s="1">
        <v>44774</v>
      </c>
      <c r="B148">
        <v>2.63</v>
      </c>
      <c r="C148" s="3">
        <f t="shared" si="2"/>
        <v>2.1916666666666664E-3</v>
      </c>
    </row>
    <row r="149" spans="1:3" x14ac:dyDescent="0.3">
      <c r="A149" s="1">
        <v>44805</v>
      </c>
      <c r="B149">
        <v>3.13</v>
      </c>
      <c r="C149" s="3">
        <f t="shared" si="2"/>
        <v>2.6083333333333332E-3</v>
      </c>
    </row>
    <row r="150" spans="1:3" x14ac:dyDescent="0.3">
      <c r="A150" s="1">
        <v>44835</v>
      </c>
      <c r="B150">
        <v>3.72</v>
      </c>
      <c r="C150" s="3">
        <f t="shared" si="2"/>
        <v>3.1000000000000003E-3</v>
      </c>
    </row>
    <row r="151" spans="1:3" x14ac:dyDescent="0.3">
      <c r="A151" s="1">
        <v>44866</v>
      </c>
      <c r="B151">
        <v>4.1500000000000004</v>
      </c>
      <c r="C151" s="3">
        <f t="shared" si="2"/>
        <v>3.4583333333333337E-3</v>
      </c>
    </row>
    <row r="152" spans="1:3" x14ac:dyDescent="0.3">
      <c r="A152" s="1">
        <v>44896</v>
      </c>
      <c r="B152">
        <v>4.25</v>
      </c>
      <c r="C152" s="3">
        <f t="shared" si="2"/>
        <v>3.5416666666666665E-3</v>
      </c>
    </row>
    <row r="153" spans="1:3" x14ac:dyDescent="0.3">
      <c r="A153" s="1">
        <v>44927</v>
      </c>
      <c r="B153">
        <v>4.54</v>
      </c>
      <c r="C153" s="3">
        <f t="shared" si="2"/>
        <v>3.7833333333333334E-3</v>
      </c>
    </row>
    <row r="154" spans="1:3" x14ac:dyDescent="0.3">
      <c r="A154" s="1">
        <v>44958</v>
      </c>
      <c r="B154">
        <v>4.6500000000000004</v>
      </c>
      <c r="C154" s="3">
        <f t="shared" si="2"/>
        <v>3.8750000000000004E-3</v>
      </c>
    </row>
    <row r="155" spans="1:3" x14ac:dyDescent="0.3">
      <c r="A155" s="1">
        <v>44986</v>
      </c>
      <c r="B155">
        <v>4.6900000000000004</v>
      </c>
      <c r="C155" s="3">
        <f t="shared" si="2"/>
        <v>3.908333333333334E-3</v>
      </c>
    </row>
    <row r="156" spans="1:3" x14ac:dyDescent="0.3">
      <c r="A156" s="1">
        <v>45017</v>
      </c>
      <c r="B156">
        <v>4.92</v>
      </c>
      <c r="C156" s="3">
        <f t="shared" si="2"/>
        <v>4.1000000000000003E-3</v>
      </c>
    </row>
    <row r="157" spans="1:3" x14ac:dyDescent="0.3">
      <c r="A157" s="1">
        <v>45047</v>
      </c>
      <c r="B157">
        <v>5.14</v>
      </c>
      <c r="C157" s="3">
        <f t="shared" si="2"/>
        <v>4.2833333333333334E-3</v>
      </c>
    </row>
    <row r="158" spans="1:3" x14ac:dyDescent="0.3">
      <c r="A158" s="1">
        <v>45078</v>
      </c>
      <c r="B158">
        <v>5.16</v>
      </c>
      <c r="C158" s="3">
        <f t="shared" si="2"/>
        <v>4.3E-3</v>
      </c>
    </row>
    <row r="159" spans="1:3" x14ac:dyDescent="0.3">
      <c r="A159" s="1">
        <v>45108</v>
      </c>
      <c r="B159">
        <v>5.25</v>
      </c>
      <c r="C159" s="3">
        <f t="shared" si="2"/>
        <v>4.3750000000000004E-3</v>
      </c>
    </row>
    <row r="160" spans="1:3" x14ac:dyDescent="0.3">
      <c r="A160" s="1">
        <v>45139</v>
      </c>
      <c r="B160">
        <v>5.3</v>
      </c>
      <c r="C160" s="3">
        <f t="shared" si="2"/>
        <v>4.4166666666666668E-3</v>
      </c>
    </row>
    <row r="161" spans="1:3" x14ac:dyDescent="0.3">
      <c r="A161" s="1">
        <v>45170</v>
      </c>
      <c r="B161">
        <v>5.32</v>
      </c>
      <c r="C161" s="3">
        <f t="shared" si="2"/>
        <v>4.4333333333333334E-3</v>
      </c>
    </row>
    <row r="162" spans="1:3" x14ac:dyDescent="0.3">
      <c r="A162" s="1">
        <v>45200</v>
      </c>
      <c r="B162">
        <v>5.34</v>
      </c>
      <c r="C162" s="3">
        <f t="shared" si="2"/>
        <v>4.45E-3</v>
      </c>
    </row>
    <row r="163" spans="1:3" x14ac:dyDescent="0.3">
      <c r="A163" s="1">
        <v>45231</v>
      </c>
      <c r="B163">
        <v>5.27</v>
      </c>
      <c r="C163" s="3">
        <f t="shared" si="2"/>
        <v>4.3916666666666661E-3</v>
      </c>
    </row>
    <row r="164" spans="1:3" x14ac:dyDescent="0.3">
      <c r="A164" s="1">
        <v>45261</v>
      </c>
      <c r="B164">
        <v>5.24</v>
      </c>
      <c r="C164" s="3">
        <f t="shared" si="2"/>
        <v>4.3666666666666671E-3</v>
      </c>
    </row>
    <row r="165" spans="1:3" x14ac:dyDescent="0.3">
      <c r="A165" s="1">
        <v>45292</v>
      </c>
      <c r="B165">
        <v>5.22</v>
      </c>
      <c r="C165" s="3">
        <f t="shared" si="2"/>
        <v>4.3499999999999997E-3</v>
      </c>
    </row>
    <row r="166" spans="1:3" x14ac:dyDescent="0.3">
      <c r="A166" s="1">
        <v>45323</v>
      </c>
      <c r="B166">
        <v>5.24</v>
      </c>
      <c r="C166" s="3">
        <f t="shared" si="2"/>
        <v>4.3666666666666671E-3</v>
      </c>
    </row>
    <row r="167" spans="1:3" x14ac:dyDescent="0.3">
      <c r="A167" s="1">
        <v>45352</v>
      </c>
      <c r="B167">
        <v>5.24</v>
      </c>
      <c r="C167" s="3">
        <f t="shared" si="2"/>
        <v>4.3666666666666671E-3</v>
      </c>
    </row>
    <row r="168" spans="1:3" x14ac:dyDescent="0.3">
      <c r="A168" s="1">
        <v>45383</v>
      </c>
      <c r="B168">
        <v>5.24</v>
      </c>
      <c r="C168" s="3">
        <f t="shared" si="2"/>
        <v>4.3666666666666671E-3</v>
      </c>
    </row>
    <row r="169" spans="1:3" x14ac:dyDescent="0.3">
      <c r="A169" s="1">
        <v>45413</v>
      </c>
      <c r="B169">
        <v>5.25</v>
      </c>
      <c r="C169" s="3">
        <f t="shared" si="2"/>
        <v>4.3750000000000004E-3</v>
      </c>
    </row>
    <row r="170" spans="1:3" x14ac:dyDescent="0.3">
      <c r="A170" s="1">
        <v>45444</v>
      </c>
      <c r="B170">
        <v>5.24</v>
      </c>
      <c r="C170" s="3">
        <f t="shared" si="2"/>
        <v>4.3666666666666671E-3</v>
      </c>
    </row>
    <row r="171" spans="1:3" x14ac:dyDescent="0.3">
      <c r="A171" s="1">
        <v>45474</v>
      </c>
      <c r="B171">
        <v>5.2</v>
      </c>
      <c r="C171" s="3">
        <f t="shared" si="2"/>
        <v>4.3333333333333331E-3</v>
      </c>
    </row>
    <row r="172" spans="1:3" x14ac:dyDescent="0.3">
      <c r="A172" s="1">
        <v>45505</v>
      </c>
      <c r="B172">
        <v>5.05</v>
      </c>
      <c r="C172" s="3">
        <f t="shared" si="2"/>
        <v>4.208333333333333E-3</v>
      </c>
    </row>
    <row r="173" spans="1:3" x14ac:dyDescent="0.3">
      <c r="A173" s="1">
        <v>45536</v>
      </c>
      <c r="B173">
        <v>4.72</v>
      </c>
      <c r="C173" s="3">
        <f t="shared" si="2"/>
        <v>3.933333333333333E-3</v>
      </c>
    </row>
    <row r="174" spans="1:3" x14ac:dyDescent="0.3">
      <c r="A174" s="1">
        <v>45566</v>
      </c>
      <c r="B174">
        <v>4.51</v>
      </c>
      <c r="C174" s="3">
        <f t="shared" si="2"/>
        <v>3.7583333333333331E-3</v>
      </c>
    </row>
    <row r="175" spans="1:3" x14ac:dyDescent="0.3">
      <c r="A175" s="1">
        <v>45597</v>
      </c>
      <c r="B175">
        <v>4.42</v>
      </c>
      <c r="C175" s="3">
        <f t="shared" si="2"/>
        <v>3.6833333333333332E-3</v>
      </c>
    </row>
    <row r="176" spans="1:3" x14ac:dyDescent="0.3">
      <c r="A176" s="1">
        <v>45627</v>
      </c>
      <c r="B176">
        <v>4.2699999999999996</v>
      </c>
      <c r="C176" s="3">
        <f t="shared" si="2"/>
        <v>3.5583333333333331E-3</v>
      </c>
    </row>
    <row r="177" spans="1:3" x14ac:dyDescent="0.3">
      <c r="A177" s="1">
        <v>45658</v>
      </c>
      <c r="B177">
        <v>4.21</v>
      </c>
      <c r="C177" s="3">
        <f t="shared" si="2"/>
        <v>3.5083333333333334E-3</v>
      </c>
    </row>
    <row r="178" spans="1:3" x14ac:dyDescent="0.3">
      <c r="A178" s="1">
        <v>45689</v>
      </c>
      <c r="B178">
        <v>4.22</v>
      </c>
      <c r="C178" s="3">
        <f t="shared" si="2"/>
        <v>3.5166666666666666E-3</v>
      </c>
    </row>
    <row r="179" spans="1:3" x14ac:dyDescent="0.3">
      <c r="A179" s="1">
        <v>45717</v>
      </c>
      <c r="B179">
        <v>4.2</v>
      </c>
      <c r="C179" s="3">
        <f t="shared" si="2"/>
        <v>3.5000000000000001E-3</v>
      </c>
    </row>
    <row r="180" spans="1:3" x14ac:dyDescent="0.3">
      <c r="A180" s="1">
        <v>45748</v>
      </c>
      <c r="B180">
        <v>4.21</v>
      </c>
      <c r="C180" s="3">
        <f t="shared" si="2"/>
        <v>3.5083333333333334E-3</v>
      </c>
    </row>
    <row r="181" spans="1:3" x14ac:dyDescent="0.3">
      <c r="A181" s="1">
        <v>45778</v>
      </c>
      <c r="B181">
        <v>4.25</v>
      </c>
      <c r="C181" s="3">
        <f t="shared" si="2"/>
        <v>3.5416666666666665E-3</v>
      </c>
    </row>
    <row r="182" spans="1:3" x14ac:dyDescent="0.3">
      <c r="A182" s="1">
        <v>45809</v>
      </c>
      <c r="B182">
        <v>4.2300000000000004</v>
      </c>
      <c r="C182" s="3">
        <f t="shared" si="2"/>
        <v>3.5250000000000004E-3</v>
      </c>
    </row>
    <row r="183" spans="1:3" x14ac:dyDescent="0.3">
      <c r="A183" s="1">
        <v>45839</v>
      </c>
      <c r="B183">
        <v>4.25</v>
      </c>
      <c r="C183" s="3">
        <f t="shared" si="2"/>
        <v>3.5416666666666665E-3</v>
      </c>
    </row>
    <row r="184" spans="1:3" x14ac:dyDescent="0.3">
      <c r="A184" s="1">
        <v>45870</v>
      </c>
      <c r="B184">
        <v>4.12</v>
      </c>
      <c r="C184" s="3">
        <f t="shared" si="2"/>
        <v>3.4333333333333334E-3</v>
      </c>
    </row>
    <row r="185" spans="1:3" x14ac:dyDescent="0.3">
      <c r="A185" s="1">
        <v>45901</v>
      </c>
      <c r="B185">
        <v>3.92</v>
      </c>
      <c r="C185" s="3">
        <f t="shared" si="2"/>
        <v>3.2666666666666664E-3</v>
      </c>
    </row>
    <row r="186" spans="1:3" x14ac:dyDescent="0.3">
      <c r="A186" s="1">
        <v>45931</v>
      </c>
      <c r="B186">
        <v>3.82</v>
      </c>
      <c r="C186" s="3">
        <f t="shared" si="2"/>
        <v>3.1833333333333332E-3</v>
      </c>
    </row>
    <row r="187" spans="1:3" x14ac:dyDescent="0.3">
      <c r="A187" s="1">
        <v>45962</v>
      </c>
      <c r="B187">
        <v>3.78</v>
      </c>
      <c r="C187" s="3">
        <f t="shared" si="2"/>
        <v>3.15E-3</v>
      </c>
    </row>
    <row r="188" spans="1:3" x14ac:dyDescent="0.3">
      <c r="A188" s="1">
        <v>45992</v>
      </c>
      <c r="B188">
        <v>3.59</v>
      </c>
      <c r="C188" s="3">
        <f t="shared" si="2"/>
        <v>2.9916666666666663E-3</v>
      </c>
    </row>
    <row r="189" spans="1:3" x14ac:dyDescent="0.3">
      <c r="A189" s="1">
        <v>46023</v>
      </c>
      <c r="B189">
        <v>3.57</v>
      </c>
      <c r="C189" s="3">
        <f t="shared" si="2"/>
        <v>2.9749999999999998E-3</v>
      </c>
    </row>
    <row r="190" spans="1:3" x14ac:dyDescent="0.3">
      <c r="A190" s="1">
        <v>46054</v>
      </c>
      <c r="B190">
        <v>3.6</v>
      </c>
      <c r="C190" s="3">
        <f t="shared" si="2"/>
        <v>3.0000000000000001E-3</v>
      </c>
    </row>
    <row r="191" spans="1:3" x14ac:dyDescent="0.3">
      <c r="A191" s="1">
        <v>46082</v>
      </c>
      <c r="B191">
        <v>3.61</v>
      </c>
      <c r="C191" s="3">
        <f t="shared" si="2"/>
        <v>3.0083333333333333E-3</v>
      </c>
    </row>
    <row r="192" spans="1:3" x14ac:dyDescent="0.3">
      <c r="A192" s="1">
        <v>46113</v>
      </c>
      <c r="B192">
        <v>3.61</v>
      </c>
      <c r="C192" s="3">
        <f t="shared" si="2"/>
        <v>3.0083333333333333E-3</v>
      </c>
    </row>
    <row r="193" spans="1:4" x14ac:dyDescent="0.3">
      <c r="A193" s="1">
        <v>46143</v>
      </c>
      <c r="B193">
        <v>3.6</v>
      </c>
      <c r="C193" s="3">
        <f t="shared" si="2"/>
        <v>3.0000000000000001E-3</v>
      </c>
    </row>
    <row r="195" spans="1:4" x14ac:dyDescent="0.3">
      <c r="A195" s="2" t="s">
        <v>11</v>
      </c>
      <c r="B195" s="4">
        <f>AVERAGE(C2:C193)</f>
        <v>1.2315104166666666E-3</v>
      </c>
      <c r="C195" s="2"/>
      <c r="D195" s="2"/>
    </row>
    <row r="196" spans="1:4" x14ac:dyDescent="0.3">
      <c r="A196" s="2" t="s">
        <v>12</v>
      </c>
      <c r="B196" s="4">
        <f>STDEV(C2:C193)</f>
        <v>1.527942760573322E-3</v>
      </c>
      <c r="C196" s="2"/>
      <c r="D196" s="2"/>
    </row>
    <row r="197" spans="1:4" x14ac:dyDescent="0.3">
      <c r="A197" s="2"/>
      <c r="B197" s="2"/>
      <c r="C197" s="2"/>
      <c r="D197" s="2"/>
    </row>
    <row r="198" spans="1:4" x14ac:dyDescent="0.3">
      <c r="A198" s="2"/>
      <c r="B198" s="2"/>
      <c r="C198" s="2"/>
      <c r="D198"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A7997-6FAC-499F-AAD0-3E4B27F1DA7D}">
  <dimension ref="A1:I200"/>
  <sheetViews>
    <sheetView workbookViewId="0">
      <pane ySplit="1" topLeftCell="A188" activePane="bottomLeft" state="frozen"/>
      <selection pane="bottomLeft" activeCell="H198" sqref="H198:I200"/>
    </sheetView>
  </sheetViews>
  <sheetFormatPr defaultRowHeight="14.4" x14ac:dyDescent="0.3"/>
  <cols>
    <col min="1" max="1" width="10.5546875" bestFit="1" customWidth="1"/>
    <col min="2" max="2" width="13.5546875" bestFit="1" customWidth="1"/>
    <col min="3" max="5" width="7" bestFit="1" customWidth="1"/>
    <col min="7" max="7" width="11" bestFit="1" customWidth="1"/>
    <col min="8" max="8" width="14.109375" bestFit="1" customWidth="1"/>
  </cols>
  <sheetData>
    <row r="1" spans="1:9" s="2" customFormat="1" x14ac:dyDescent="0.3">
      <c r="A1" s="2" t="s">
        <v>0</v>
      </c>
      <c r="B1" s="2" t="s">
        <v>1</v>
      </c>
      <c r="C1" s="2" t="s">
        <v>2</v>
      </c>
      <c r="D1" s="2" t="s">
        <v>3</v>
      </c>
      <c r="E1" s="2" t="s">
        <v>4</v>
      </c>
      <c r="F1" s="2" t="s">
        <v>5</v>
      </c>
      <c r="G1" s="2" t="s">
        <v>6</v>
      </c>
      <c r="H1" s="2" t="s">
        <v>10</v>
      </c>
      <c r="I1" s="2" t="s">
        <v>14</v>
      </c>
    </row>
    <row r="2" spans="1:9" x14ac:dyDescent="0.3">
      <c r="A2" s="1">
        <v>40330</v>
      </c>
      <c r="B2">
        <v>45.43</v>
      </c>
      <c r="C2">
        <v>47.68</v>
      </c>
      <c r="D2">
        <v>42.64</v>
      </c>
      <c r="E2">
        <v>42.71</v>
      </c>
      <c r="F2">
        <v>37.11</v>
      </c>
      <c r="G2">
        <v>2058088600</v>
      </c>
      <c r="H2" t="str">
        <f t="shared" ref="H2:H33" si="0">IF(ISNUMBER(SEARCH("Dividend",B2)),"Yes","No")</f>
        <v>No</v>
      </c>
      <c r="I2" s="3"/>
    </row>
    <row r="3" spans="1:9" x14ac:dyDescent="0.3">
      <c r="A3" s="1">
        <v>40360</v>
      </c>
      <c r="B3">
        <v>42.84</v>
      </c>
      <c r="C3">
        <v>46.72</v>
      </c>
      <c r="D3">
        <v>41.77</v>
      </c>
      <c r="E3">
        <v>45.81</v>
      </c>
      <c r="F3">
        <v>39.96</v>
      </c>
      <c r="G3">
        <v>1748673600</v>
      </c>
      <c r="H3" t="str">
        <f t="shared" si="0"/>
        <v>No</v>
      </c>
      <c r="I3" s="3">
        <f>(F3/F2)-1</f>
        <v>7.6798706548100393E-2</v>
      </c>
    </row>
    <row r="4" spans="1:9" x14ac:dyDescent="0.3">
      <c r="A4" s="1">
        <v>40391</v>
      </c>
      <c r="B4">
        <v>46.39</v>
      </c>
      <c r="C4">
        <v>47.19</v>
      </c>
      <c r="D4">
        <v>42.97</v>
      </c>
      <c r="E4">
        <v>43.46</v>
      </c>
      <c r="F4">
        <v>37.909999999999997</v>
      </c>
      <c r="G4">
        <v>1483278100</v>
      </c>
      <c r="H4" t="str">
        <f t="shared" si="0"/>
        <v>No</v>
      </c>
      <c r="I4" s="3">
        <f t="shared" ref="I4:I67" si="1">(F4/F3)-1</f>
        <v>-5.1301301301301394E-2</v>
      </c>
    </row>
    <row r="5" spans="1:9" x14ac:dyDescent="0.3">
      <c r="A5" s="1">
        <v>40422</v>
      </c>
      <c r="B5">
        <v>44.1</v>
      </c>
      <c r="C5">
        <v>49.84</v>
      </c>
      <c r="D5">
        <v>44.07</v>
      </c>
      <c r="E5">
        <v>49.07</v>
      </c>
      <c r="F5">
        <v>42.8</v>
      </c>
      <c r="G5">
        <v>1574743200</v>
      </c>
      <c r="H5" t="str">
        <f t="shared" si="0"/>
        <v>No</v>
      </c>
      <c r="I5" s="3">
        <f t="shared" si="1"/>
        <v>0.12898971247691904</v>
      </c>
    </row>
    <row r="6" spans="1:9" x14ac:dyDescent="0.3">
      <c r="A6" s="1">
        <v>40452</v>
      </c>
      <c r="B6">
        <v>49.48</v>
      </c>
      <c r="C6">
        <v>52.49</v>
      </c>
      <c r="D6">
        <v>48.2</v>
      </c>
      <c r="E6">
        <v>52.18</v>
      </c>
      <c r="F6">
        <v>45.62</v>
      </c>
      <c r="G6">
        <v>1538354800</v>
      </c>
      <c r="H6" t="str">
        <f t="shared" si="0"/>
        <v>No</v>
      </c>
      <c r="I6" s="3">
        <f t="shared" si="1"/>
        <v>6.5887850467289732E-2</v>
      </c>
    </row>
    <row r="7" spans="1:9" x14ac:dyDescent="0.3">
      <c r="A7" s="1">
        <v>40483</v>
      </c>
      <c r="B7">
        <v>52.37</v>
      </c>
      <c r="C7">
        <v>54.04</v>
      </c>
      <c r="D7">
        <v>50.85</v>
      </c>
      <c r="E7">
        <v>52.09</v>
      </c>
      <c r="F7">
        <v>45.54</v>
      </c>
      <c r="G7">
        <v>1564994700</v>
      </c>
      <c r="H7" t="str">
        <f t="shared" si="0"/>
        <v>No</v>
      </c>
      <c r="I7" s="3">
        <f t="shared" si="1"/>
        <v>-1.7536168347215275E-3</v>
      </c>
    </row>
    <row r="8" spans="1:9" x14ac:dyDescent="0.3">
      <c r="A8" s="1">
        <v>40513</v>
      </c>
      <c r="B8">
        <v>52.86</v>
      </c>
      <c r="C8">
        <v>54.96</v>
      </c>
      <c r="D8">
        <v>52.84</v>
      </c>
      <c r="E8">
        <v>54.46</v>
      </c>
      <c r="F8">
        <v>47.61</v>
      </c>
      <c r="G8">
        <v>1006766900</v>
      </c>
      <c r="H8" t="str">
        <f t="shared" si="0"/>
        <v>No</v>
      </c>
      <c r="I8" s="3">
        <f t="shared" si="1"/>
        <v>4.5454545454545414E-2</v>
      </c>
    </row>
    <row r="9" spans="1:9" x14ac:dyDescent="0.3">
      <c r="A9" s="1">
        <v>40544</v>
      </c>
      <c r="B9">
        <v>54.97</v>
      </c>
      <c r="C9">
        <v>57.35</v>
      </c>
      <c r="D9">
        <v>54.92</v>
      </c>
      <c r="E9">
        <v>56</v>
      </c>
      <c r="F9">
        <v>49.06</v>
      </c>
      <c r="G9">
        <v>1265608600</v>
      </c>
      <c r="H9" t="str">
        <f t="shared" si="0"/>
        <v>No</v>
      </c>
      <c r="I9" s="3">
        <f t="shared" si="1"/>
        <v>3.0455786599453916E-2</v>
      </c>
    </row>
    <row r="10" spans="1:9" x14ac:dyDescent="0.3">
      <c r="A10" s="1">
        <v>40575</v>
      </c>
      <c r="B10">
        <v>56.42</v>
      </c>
      <c r="C10">
        <v>59.04</v>
      </c>
      <c r="D10">
        <v>56.13</v>
      </c>
      <c r="E10">
        <v>57.77</v>
      </c>
      <c r="F10">
        <v>50.61</v>
      </c>
      <c r="G10">
        <v>1101561900</v>
      </c>
      <c r="H10" t="str">
        <f t="shared" si="0"/>
        <v>No</v>
      </c>
      <c r="I10" s="3">
        <f t="shared" si="1"/>
        <v>3.1593966571545007E-2</v>
      </c>
    </row>
    <row r="11" spans="1:9" x14ac:dyDescent="0.3">
      <c r="A11" s="1">
        <v>40603</v>
      </c>
      <c r="B11">
        <v>58.02</v>
      </c>
      <c r="C11">
        <v>58.37</v>
      </c>
      <c r="D11">
        <v>53.77</v>
      </c>
      <c r="E11">
        <v>57.43</v>
      </c>
      <c r="F11">
        <v>50.31</v>
      </c>
      <c r="G11">
        <v>1729243300</v>
      </c>
      <c r="H11" t="str">
        <f t="shared" si="0"/>
        <v>No</v>
      </c>
      <c r="I11" s="3">
        <f t="shared" si="1"/>
        <v>-5.927682276229973E-3</v>
      </c>
    </row>
    <row r="12" spans="1:9" x14ac:dyDescent="0.3">
      <c r="A12" s="1">
        <v>40634</v>
      </c>
      <c r="B12">
        <v>57.72</v>
      </c>
      <c r="C12">
        <v>59.29</v>
      </c>
      <c r="D12">
        <v>55.32</v>
      </c>
      <c r="E12">
        <v>59.08</v>
      </c>
      <c r="F12">
        <v>51.83</v>
      </c>
      <c r="G12">
        <v>1032891200</v>
      </c>
      <c r="H12" t="str">
        <f t="shared" si="0"/>
        <v>No</v>
      </c>
      <c r="I12" s="3">
        <f t="shared" si="1"/>
        <v>3.021268137547195E-2</v>
      </c>
    </row>
    <row r="13" spans="1:9" x14ac:dyDescent="0.3">
      <c r="A13" s="1">
        <v>40664</v>
      </c>
      <c r="B13">
        <v>59.17</v>
      </c>
      <c r="C13">
        <v>59.34</v>
      </c>
      <c r="D13">
        <v>56.47</v>
      </c>
      <c r="E13">
        <v>58.36</v>
      </c>
      <c r="F13">
        <v>51.2</v>
      </c>
      <c r="G13">
        <v>1054622500</v>
      </c>
      <c r="H13" t="str">
        <f t="shared" si="0"/>
        <v>No</v>
      </c>
      <c r="I13" s="3">
        <f t="shared" si="1"/>
        <v>-1.2155122515917327E-2</v>
      </c>
    </row>
    <row r="14" spans="1:9" x14ac:dyDescent="0.3">
      <c r="A14" s="1">
        <v>40695</v>
      </c>
      <c r="B14">
        <v>58.22</v>
      </c>
      <c r="C14">
        <v>58.36</v>
      </c>
      <c r="D14">
        <v>53.62</v>
      </c>
      <c r="E14">
        <v>57.05</v>
      </c>
      <c r="F14">
        <v>50.05</v>
      </c>
      <c r="G14">
        <v>1155628500</v>
      </c>
      <c r="H14" t="str">
        <f t="shared" si="0"/>
        <v>No</v>
      </c>
      <c r="I14" s="3">
        <f t="shared" si="1"/>
        <v>-2.2460937500000111E-2</v>
      </c>
    </row>
    <row r="15" spans="1:9" x14ac:dyDescent="0.3">
      <c r="A15" s="1">
        <v>40725</v>
      </c>
      <c r="B15">
        <v>57.08</v>
      </c>
      <c r="C15">
        <v>59.83</v>
      </c>
      <c r="D15">
        <v>56.87</v>
      </c>
      <c r="E15">
        <v>58</v>
      </c>
      <c r="F15">
        <v>51</v>
      </c>
      <c r="G15">
        <v>1277418400</v>
      </c>
      <c r="H15" t="str">
        <f t="shared" si="0"/>
        <v>No</v>
      </c>
      <c r="I15" s="3">
        <f t="shared" si="1"/>
        <v>1.8981018981019115E-2</v>
      </c>
    </row>
    <row r="16" spans="1:9" x14ac:dyDescent="0.3">
      <c r="A16" s="1">
        <v>40756</v>
      </c>
      <c r="B16">
        <v>58.7</v>
      </c>
      <c r="C16">
        <v>58.82</v>
      </c>
      <c r="D16">
        <v>49.93</v>
      </c>
      <c r="E16">
        <v>55.06</v>
      </c>
      <c r="F16">
        <v>48.41</v>
      </c>
      <c r="G16">
        <v>2526145600</v>
      </c>
      <c r="H16" t="str">
        <f t="shared" si="0"/>
        <v>No</v>
      </c>
      <c r="I16" s="3">
        <f t="shared" si="1"/>
        <v>-5.0784313725490304E-2</v>
      </c>
    </row>
    <row r="17" spans="1:9" x14ac:dyDescent="0.3">
      <c r="A17" s="1">
        <v>40787</v>
      </c>
      <c r="B17">
        <v>55.2</v>
      </c>
      <c r="C17">
        <v>57.35</v>
      </c>
      <c r="D17">
        <v>51.91</v>
      </c>
      <c r="E17">
        <v>52.49</v>
      </c>
      <c r="F17">
        <v>46.15</v>
      </c>
      <c r="G17">
        <v>1666877800</v>
      </c>
      <c r="H17" t="str">
        <f t="shared" si="0"/>
        <v>No</v>
      </c>
      <c r="I17" s="3">
        <f t="shared" si="1"/>
        <v>-4.6684569303862777E-2</v>
      </c>
    </row>
    <row r="18" spans="1:9" x14ac:dyDescent="0.3">
      <c r="A18" s="1">
        <v>40817</v>
      </c>
      <c r="B18">
        <v>52.02</v>
      </c>
      <c r="C18">
        <v>59.2</v>
      </c>
      <c r="D18">
        <v>50.1</v>
      </c>
      <c r="E18">
        <v>57.95</v>
      </c>
      <c r="F18">
        <v>51.05</v>
      </c>
      <c r="G18">
        <v>1616785100</v>
      </c>
      <c r="H18" t="str">
        <f t="shared" si="0"/>
        <v>No</v>
      </c>
      <c r="I18" s="3">
        <f t="shared" si="1"/>
        <v>0.10617551462621888</v>
      </c>
    </row>
    <row r="19" spans="1:9" x14ac:dyDescent="0.3">
      <c r="A19" s="1">
        <v>40848</v>
      </c>
      <c r="B19">
        <v>56.52</v>
      </c>
      <c r="C19">
        <v>58.98</v>
      </c>
      <c r="D19">
        <v>52.87</v>
      </c>
      <c r="E19">
        <v>56.39</v>
      </c>
      <c r="F19">
        <v>49.67</v>
      </c>
      <c r="G19">
        <v>1295070500</v>
      </c>
      <c r="H19" t="str">
        <f t="shared" si="0"/>
        <v>No</v>
      </c>
      <c r="I19" s="3">
        <f t="shared" si="1"/>
        <v>-2.7032321253672831E-2</v>
      </c>
    </row>
    <row r="20" spans="1:9" x14ac:dyDescent="0.3">
      <c r="A20" s="1">
        <v>40878</v>
      </c>
      <c r="B20">
        <v>56.38</v>
      </c>
      <c r="C20">
        <v>57.62</v>
      </c>
      <c r="D20">
        <v>54.17</v>
      </c>
      <c r="E20">
        <v>55.83</v>
      </c>
      <c r="F20">
        <v>49.18</v>
      </c>
      <c r="G20">
        <v>1004361600</v>
      </c>
      <c r="H20" t="str">
        <f t="shared" si="0"/>
        <v>No</v>
      </c>
      <c r="I20" s="3">
        <f t="shared" si="1"/>
        <v>-9.8651097241796437E-3</v>
      </c>
    </row>
    <row r="21" spans="1:9" x14ac:dyDescent="0.3">
      <c r="A21" s="1">
        <v>40909</v>
      </c>
      <c r="B21">
        <v>56.91</v>
      </c>
      <c r="C21">
        <v>60.86</v>
      </c>
      <c r="D21">
        <v>56.56</v>
      </c>
      <c r="E21">
        <v>60.53</v>
      </c>
      <c r="F21">
        <v>53.52</v>
      </c>
      <c r="G21">
        <v>828883900</v>
      </c>
      <c r="H21" t="str">
        <f t="shared" si="0"/>
        <v>No</v>
      </c>
      <c r="I21" s="3">
        <f t="shared" si="1"/>
        <v>8.8247254981699941E-2</v>
      </c>
    </row>
    <row r="22" spans="1:9" x14ac:dyDescent="0.3">
      <c r="A22" s="1">
        <v>40940</v>
      </c>
      <c r="B22">
        <v>60.88</v>
      </c>
      <c r="C22">
        <v>64.959999999999994</v>
      </c>
      <c r="D22">
        <v>60.66</v>
      </c>
      <c r="E22">
        <v>64.41</v>
      </c>
      <c r="F22">
        <v>56.95</v>
      </c>
      <c r="G22">
        <v>1018602500</v>
      </c>
      <c r="H22" t="str">
        <f t="shared" si="0"/>
        <v>No</v>
      </c>
      <c r="I22" s="3">
        <f t="shared" si="1"/>
        <v>6.4088191330343713E-2</v>
      </c>
    </row>
    <row r="23" spans="1:9" x14ac:dyDescent="0.3">
      <c r="A23" s="1">
        <v>40969</v>
      </c>
      <c r="B23">
        <v>64.650000000000006</v>
      </c>
      <c r="C23">
        <v>68.510000000000005</v>
      </c>
      <c r="D23">
        <v>63.23</v>
      </c>
      <c r="E23">
        <v>67.55</v>
      </c>
      <c r="F23">
        <v>59.73</v>
      </c>
      <c r="G23">
        <v>1070054300</v>
      </c>
      <c r="H23" t="str">
        <f t="shared" si="0"/>
        <v>No</v>
      </c>
      <c r="I23" s="3">
        <f t="shared" si="1"/>
        <v>4.8814749780509148E-2</v>
      </c>
    </row>
    <row r="24" spans="1:9" x14ac:dyDescent="0.3">
      <c r="A24" s="1">
        <v>41000</v>
      </c>
      <c r="B24">
        <v>67.48</v>
      </c>
      <c r="C24">
        <v>68.55</v>
      </c>
      <c r="D24">
        <v>64.45</v>
      </c>
      <c r="E24">
        <v>66.760000000000005</v>
      </c>
      <c r="F24">
        <v>59.13</v>
      </c>
      <c r="G24">
        <v>1056184900</v>
      </c>
      <c r="H24" t="str">
        <f t="shared" si="0"/>
        <v>No</v>
      </c>
      <c r="I24" s="3">
        <f t="shared" si="1"/>
        <v>-1.0045203415369075E-2</v>
      </c>
    </row>
    <row r="25" spans="1:9" x14ac:dyDescent="0.3">
      <c r="A25" s="1">
        <v>41030</v>
      </c>
      <c r="B25">
        <v>66.69</v>
      </c>
      <c r="C25">
        <v>67.63</v>
      </c>
      <c r="D25">
        <v>60.76</v>
      </c>
      <c r="E25">
        <v>62.06</v>
      </c>
      <c r="F25">
        <v>54.97</v>
      </c>
      <c r="G25">
        <v>1300328800</v>
      </c>
      <c r="H25" t="str">
        <f t="shared" si="0"/>
        <v>No</v>
      </c>
      <c r="I25" s="3">
        <f t="shared" si="1"/>
        <v>-7.035345848131247E-2</v>
      </c>
    </row>
    <row r="26" spans="1:9" x14ac:dyDescent="0.3">
      <c r="A26" s="1">
        <v>41061</v>
      </c>
      <c r="B26">
        <v>60.94</v>
      </c>
      <c r="C26">
        <v>64.569999999999993</v>
      </c>
      <c r="D26">
        <v>60.04</v>
      </c>
      <c r="E26">
        <v>64.16</v>
      </c>
      <c r="F26">
        <v>56.83</v>
      </c>
      <c r="G26">
        <v>973815200</v>
      </c>
      <c r="H26" t="str">
        <f t="shared" si="0"/>
        <v>No</v>
      </c>
      <c r="I26" s="3">
        <f t="shared" si="1"/>
        <v>3.383663816627247E-2</v>
      </c>
    </row>
    <row r="27" spans="1:9" x14ac:dyDescent="0.3">
      <c r="A27" s="1">
        <v>41091</v>
      </c>
      <c r="B27">
        <v>64.25</v>
      </c>
      <c r="C27">
        <v>65.31</v>
      </c>
      <c r="D27">
        <v>61.86</v>
      </c>
      <c r="E27">
        <v>64.8</v>
      </c>
      <c r="F27">
        <v>57.53</v>
      </c>
      <c r="G27">
        <v>860805100</v>
      </c>
      <c r="H27" t="str">
        <f t="shared" si="0"/>
        <v>No</v>
      </c>
      <c r="I27" s="3">
        <f t="shared" si="1"/>
        <v>1.2317437972901635E-2</v>
      </c>
    </row>
    <row r="28" spans="1:9" x14ac:dyDescent="0.3">
      <c r="A28" s="1">
        <v>41122</v>
      </c>
      <c r="B28">
        <v>65.260000000000005</v>
      </c>
      <c r="C28">
        <v>68.88</v>
      </c>
      <c r="D28">
        <v>63.91</v>
      </c>
      <c r="E28">
        <v>68.16</v>
      </c>
      <c r="F28">
        <v>60.51</v>
      </c>
      <c r="G28">
        <v>679866200</v>
      </c>
      <c r="H28" t="str">
        <f t="shared" si="0"/>
        <v>No</v>
      </c>
      <c r="I28" s="3">
        <f t="shared" si="1"/>
        <v>5.1799061359290688E-2</v>
      </c>
    </row>
    <row r="29" spans="1:9" x14ac:dyDescent="0.3">
      <c r="A29" s="1">
        <v>41153</v>
      </c>
      <c r="B29">
        <v>68.03</v>
      </c>
      <c r="C29">
        <v>70.58</v>
      </c>
      <c r="D29">
        <v>67.42</v>
      </c>
      <c r="E29">
        <v>68.569999999999993</v>
      </c>
      <c r="F29">
        <v>60.87</v>
      </c>
      <c r="G29">
        <v>639521900</v>
      </c>
      <c r="H29" t="str">
        <f t="shared" si="0"/>
        <v>No</v>
      </c>
      <c r="I29" s="3">
        <f t="shared" si="1"/>
        <v>5.9494298463063089E-3</v>
      </c>
    </row>
    <row r="30" spans="1:9" x14ac:dyDescent="0.3">
      <c r="A30" s="1">
        <v>41183</v>
      </c>
      <c r="B30">
        <v>68.900000000000006</v>
      </c>
      <c r="C30">
        <v>69.8</v>
      </c>
      <c r="D30">
        <v>64.650000000000006</v>
      </c>
      <c r="E30">
        <v>64.95</v>
      </c>
      <c r="F30">
        <v>57.82</v>
      </c>
      <c r="G30">
        <v>863124200</v>
      </c>
      <c r="H30" t="str">
        <f t="shared" si="0"/>
        <v>No</v>
      </c>
      <c r="I30" s="3">
        <f t="shared" si="1"/>
        <v>-5.0106784951535976E-2</v>
      </c>
    </row>
    <row r="31" spans="1:9" x14ac:dyDescent="0.3">
      <c r="A31" s="1">
        <v>41214</v>
      </c>
      <c r="B31">
        <v>65.36</v>
      </c>
      <c r="C31">
        <v>66.209999999999994</v>
      </c>
      <c r="D31">
        <v>61.31</v>
      </c>
      <c r="E31">
        <v>65.8</v>
      </c>
      <c r="F31">
        <v>58.58</v>
      </c>
      <c r="G31">
        <v>901783900</v>
      </c>
      <c r="H31" t="str">
        <f t="shared" si="0"/>
        <v>No</v>
      </c>
      <c r="I31" s="3">
        <f t="shared" si="1"/>
        <v>1.3144240747146263E-2</v>
      </c>
    </row>
    <row r="32" spans="1:9" x14ac:dyDescent="0.3">
      <c r="A32" s="1">
        <v>41244</v>
      </c>
      <c r="B32">
        <v>66.31</v>
      </c>
      <c r="C32">
        <v>66.760000000000005</v>
      </c>
      <c r="D32">
        <v>63.58</v>
      </c>
      <c r="E32">
        <v>65.13</v>
      </c>
      <c r="F32">
        <v>57.99</v>
      </c>
      <c r="G32">
        <v>815856000</v>
      </c>
      <c r="H32" t="str">
        <f t="shared" si="0"/>
        <v>No</v>
      </c>
      <c r="I32" s="3">
        <f t="shared" si="1"/>
        <v>-1.007169682485487E-2</v>
      </c>
    </row>
    <row r="33" spans="1:9" x14ac:dyDescent="0.3">
      <c r="A33" s="1">
        <v>41275</v>
      </c>
      <c r="B33">
        <v>66.73</v>
      </c>
      <c r="C33">
        <v>67.790000000000006</v>
      </c>
      <c r="D33">
        <v>66.17</v>
      </c>
      <c r="E33">
        <v>66.87</v>
      </c>
      <c r="F33">
        <v>59.87</v>
      </c>
      <c r="G33">
        <v>741836700</v>
      </c>
      <c r="H33" t="str">
        <f t="shared" si="0"/>
        <v>No</v>
      </c>
      <c r="I33" s="3">
        <f t="shared" si="1"/>
        <v>3.241938265218125E-2</v>
      </c>
    </row>
    <row r="34" spans="1:9" x14ac:dyDescent="0.3">
      <c r="A34" s="1">
        <v>41306</v>
      </c>
      <c r="B34">
        <v>67.34</v>
      </c>
      <c r="C34">
        <v>68.260000000000005</v>
      </c>
      <c r="D34">
        <v>65.959999999999994</v>
      </c>
      <c r="E34">
        <v>67.099999999999994</v>
      </c>
      <c r="F34">
        <v>60.07</v>
      </c>
      <c r="G34">
        <v>656562100</v>
      </c>
      <c r="H34" t="str">
        <f t="shared" ref="H34:H65" si="2">IF(ISNUMBER(SEARCH("Dividend",B34)),"Yes","No")</f>
        <v>No</v>
      </c>
      <c r="I34" s="3">
        <f t="shared" si="1"/>
        <v>3.340571237681722E-3</v>
      </c>
    </row>
    <row r="35" spans="1:9" x14ac:dyDescent="0.3">
      <c r="A35" s="1">
        <v>41334</v>
      </c>
      <c r="B35">
        <v>66.87</v>
      </c>
      <c r="C35">
        <v>69.06</v>
      </c>
      <c r="D35">
        <v>66.540000000000006</v>
      </c>
      <c r="E35">
        <v>68.97</v>
      </c>
      <c r="F35">
        <v>61.75</v>
      </c>
      <c r="G35">
        <v>557979300</v>
      </c>
      <c r="H35" t="str">
        <f t="shared" si="2"/>
        <v>No</v>
      </c>
      <c r="I35" s="3">
        <f t="shared" si="1"/>
        <v>2.7967371400033247E-2</v>
      </c>
    </row>
    <row r="36" spans="1:9" x14ac:dyDescent="0.3">
      <c r="A36" s="1">
        <v>41365</v>
      </c>
      <c r="B36">
        <v>69.02</v>
      </c>
      <c r="C36">
        <v>70.73</v>
      </c>
      <c r="D36">
        <v>66.88</v>
      </c>
      <c r="E36">
        <v>70.72</v>
      </c>
      <c r="F36">
        <v>63.46</v>
      </c>
      <c r="G36">
        <v>835537700</v>
      </c>
      <c r="H36" t="str">
        <f t="shared" si="2"/>
        <v>No</v>
      </c>
      <c r="I36" s="3">
        <f t="shared" si="1"/>
        <v>2.7692307692307683E-2</v>
      </c>
    </row>
    <row r="37" spans="1:9" x14ac:dyDescent="0.3">
      <c r="A37" s="1">
        <v>41395</v>
      </c>
      <c r="B37">
        <v>70.739999999999995</v>
      </c>
      <c r="C37">
        <v>74.95</v>
      </c>
      <c r="D37">
        <v>70.25</v>
      </c>
      <c r="E37">
        <v>73.25</v>
      </c>
      <c r="F37">
        <v>65.73</v>
      </c>
      <c r="G37">
        <v>680414200</v>
      </c>
      <c r="H37" t="str">
        <f t="shared" si="2"/>
        <v>No</v>
      </c>
      <c r="I37" s="3">
        <f t="shared" si="1"/>
        <v>3.5770564134888216E-2</v>
      </c>
    </row>
    <row r="38" spans="1:9" x14ac:dyDescent="0.3">
      <c r="A38" s="1">
        <v>41426</v>
      </c>
      <c r="B38">
        <v>73.260000000000005</v>
      </c>
      <c r="C38">
        <v>73.819999999999993</v>
      </c>
      <c r="D38">
        <v>69.150000000000006</v>
      </c>
      <c r="E38">
        <v>71.27</v>
      </c>
      <c r="F38">
        <v>63.95</v>
      </c>
      <c r="G38">
        <v>748561600</v>
      </c>
      <c r="H38" t="str">
        <f t="shared" si="2"/>
        <v>No</v>
      </c>
      <c r="I38" s="3">
        <f t="shared" si="1"/>
        <v>-2.7080480754602121E-2</v>
      </c>
    </row>
    <row r="39" spans="1:9" x14ac:dyDescent="0.3">
      <c r="A39" s="1">
        <v>41456</v>
      </c>
      <c r="B39">
        <v>71.75</v>
      </c>
      <c r="C39">
        <v>76.209999999999994</v>
      </c>
      <c r="D39">
        <v>71.349999999999994</v>
      </c>
      <c r="E39">
        <v>75.77</v>
      </c>
      <c r="F39">
        <v>68.209999999999994</v>
      </c>
      <c r="G39">
        <v>581695700</v>
      </c>
      <c r="H39" t="str">
        <f t="shared" si="2"/>
        <v>No</v>
      </c>
      <c r="I39" s="3">
        <f t="shared" si="1"/>
        <v>6.6614542611415084E-2</v>
      </c>
    </row>
    <row r="40" spans="1:9" x14ac:dyDescent="0.3">
      <c r="A40" s="1">
        <v>41487</v>
      </c>
      <c r="B40">
        <v>76.290000000000006</v>
      </c>
      <c r="C40">
        <v>77.28</v>
      </c>
      <c r="D40">
        <v>74.959999999999994</v>
      </c>
      <c r="E40">
        <v>75.47</v>
      </c>
      <c r="F40">
        <v>67.94</v>
      </c>
      <c r="G40">
        <v>529245500</v>
      </c>
      <c r="H40" t="str">
        <f t="shared" si="2"/>
        <v>No</v>
      </c>
      <c r="I40" s="3">
        <f t="shared" si="1"/>
        <v>-3.9583638762644702E-3</v>
      </c>
    </row>
    <row r="41" spans="1:9" x14ac:dyDescent="0.3">
      <c r="A41" s="1">
        <v>41518</v>
      </c>
      <c r="B41">
        <v>76.09</v>
      </c>
      <c r="C41">
        <v>79.69</v>
      </c>
      <c r="D41">
        <v>75.540000000000006</v>
      </c>
      <c r="E41">
        <v>78.88</v>
      </c>
      <c r="F41">
        <v>71.010000000000005</v>
      </c>
      <c r="G41">
        <v>503988800</v>
      </c>
      <c r="H41" t="str">
        <f t="shared" si="2"/>
        <v>No</v>
      </c>
      <c r="I41" s="3">
        <f t="shared" si="1"/>
        <v>4.5186929643803442E-2</v>
      </c>
    </row>
    <row r="42" spans="1:9" x14ac:dyDescent="0.3">
      <c r="A42" s="1">
        <v>41548</v>
      </c>
      <c r="B42">
        <v>78.89</v>
      </c>
      <c r="C42">
        <v>83.49</v>
      </c>
      <c r="D42">
        <v>76.349999999999994</v>
      </c>
      <c r="E42">
        <v>82.79</v>
      </c>
      <c r="F42">
        <v>74.75</v>
      </c>
      <c r="G42">
        <v>817353700</v>
      </c>
      <c r="H42" t="str">
        <f t="shared" si="2"/>
        <v>No</v>
      </c>
      <c r="I42" s="3">
        <f t="shared" si="1"/>
        <v>5.2668638219969033E-2</v>
      </c>
    </row>
    <row r="43" spans="1:9" x14ac:dyDescent="0.3">
      <c r="A43" s="1">
        <v>41579</v>
      </c>
      <c r="B43">
        <v>83.07</v>
      </c>
      <c r="C43">
        <v>85.84</v>
      </c>
      <c r="D43">
        <v>81.37</v>
      </c>
      <c r="E43">
        <v>85.73</v>
      </c>
      <c r="F43">
        <v>77.400000000000006</v>
      </c>
      <c r="G43">
        <v>542339400</v>
      </c>
      <c r="H43" t="str">
        <f t="shared" si="2"/>
        <v>No</v>
      </c>
      <c r="I43" s="3">
        <f t="shared" si="1"/>
        <v>3.5451505016722562E-2</v>
      </c>
    </row>
    <row r="44" spans="1:9" x14ac:dyDescent="0.3">
      <c r="A44" s="1">
        <v>41609</v>
      </c>
      <c r="B44">
        <v>85.83</v>
      </c>
      <c r="C44">
        <v>87.96</v>
      </c>
      <c r="D44">
        <v>84.05</v>
      </c>
      <c r="E44">
        <v>87.96</v>
      </c>
      <c r="F44">
        <v>79.42</v>
      </c>
      <c r="G44">
        <v>651649200</v>
      </c>
      <c r="H44" t="str">
        <f t="shared" si="2"/>
        <v>No</v>
      </c>
      <c r="I44" s="3">
        <f t="shared" si="1"/>
        <v>2.6098191214470212E-2</v>
      </c>
    </row>
    <row r="45" spans="1:9" x14ac:dyDescent="0.3">
      <c r="A45" s="1">
        <v>41640</v>
      </c>
      <c r="B45">
        <v>87.55</v>
      </c>
      <c r="C45">
        <v>89</v>
      </c>
      <c r="D45">
        <v>84.76</v>
      </c>
      <c r="E45">
        <v>86.27</v>
      </c>
      <c r="F45">
        <v>78.14</v>
      </c>
      <c r="G45">
        <v>831732700</v>
      </c>
      <c r="H45" t="str">
        <f t="shared" si="2"/>
        <v>No</v>
      </c>
      <c r="I45" s="3">
        <f t="shared" si="1"/>
        <v>-1.6116847141777857E-2</v>
      </c>
    </row>
    <row r="46" spans="1:9" x14ac:dyDescent="0.3">
      <c r="A46" s="1">
        <v>41671</v>
      </c>
      <c r="B46">
        <v>86.11</v>
      </c>
      <c r="C46">
        <v>90.96</v>
      </c>
      <c r="D46">
        <v>83.74</v>
      </c>
      <c r="E46">
        <v>90.34</v>
      </c>
      <c r="F46">
        <v>81.819999999999993</v>
      </c>
      <c r="G46">
        <v>713558700</v>
      </c>
      <c r="H46" t="str">
        <f t="shared" si="2"/>
        <v>No</v>
      </c>
      <c r="I46" s="3">
        <f t="shared" si="1"/>
        <v>4.7094957768108348E-2</v>
      </c>
    </row>
    <row r="47" spans="1:9" x14ac:dyDescent="0.3">
      <c r="A47" s="1">
        <v>41699</v>
      </c>
      <c r="B47">
        <v>89.49</v>
      </c>
      <c r="C47">
        <v>91.36</v>
      </c>
      <c r="D47">
        <v>86.4</v>
      </c>
      <c r="E47">
        <v>87.67</v>
      </c>
      <c r="F47">
        <v>79.739999999999995</v>
      </c>
      <c r="G47">
        <v>809345400</v>
      </c>
      <c r="H47" t="str">
        <f t="shared" si="2"/>
        <v>No</v>
      </c>
      <c r="I47" s="3">
        <f t="shared" si="1"/>
        <v>-2.5421657296504474E-2</v>
      </c>
    </row>
    <row r="48" spans="1:9" x14ac:dyDescent="0.3">
      <c r="A48" s="1">
        <v>41730</v>
      </c>
      <c r="B48">
        <v>88.1</v>
      </c>
      <c r="C48">
        <v>89.68</v>
      </c>
      <c r="D48">
        <v>83.28</v>
      </c>
      <c r="E48">
        <v>87.39</v>
      </c>
      <c r="F48">
        <v>79.66</v>
      </c>
      <c r="G48">
        <v>1141398200</v>
      </c>
      <c r="H48" t="str">
        <f t="shared" si="2"/>
        <v>No</v>
      </c>
      <c r="I48" s="3">
        <f t="shared" si="1"/>
        <v>-1.0032605969400032E-3</v>
      </c>
    </row>
    <row r="49" spans="1:9" x14ac:dyDescent="0.3">
      <c r="A49" s="1">
        <v>41760</v>
      </c>
      <c r="B49">
        <v>87.53</v>
      </c>
      <c r="C49">
        <v>91.45</v>
      </c>
      <c r="D49">
        <v>85.53</v>
      </c>
      <c r="E49">
        <v>91.31</v>
      </c>
      <c r="F49">
        <v>83.24</v>
      </c>
      <c r="G49">
        <v>789193700</v>
      </c>
      <c r="H49" t="str">
        <f t="shared" si="2"/>
        <v>No</v>
      </c>
      <c r="I49" s="3">
        <f t="shared" si="1"/>
        <v>4.4940999246798841E-2</v>
      </c>
    </row>
    <row r="50" spans="1:9" x14ac:dyDescent="0.3">
      <c r="A50" s="1">
        <v>41791</v>
      </c>
      <c r="B50">
        <v>91.42</v>
      </c>
      <c r="C50">
        <v>94.14</v>
      </c>
      <c r="D50">
        <v>90.64</v>
      </c>
      <c r="E50">
        <v>93.91</v>
      </c>
      <c r="F50">
        <v>85.61</v>
      </c>
      <c r="G50">
        <v>567012900</v>
      </c>
      <c r="H50" t="str">
        <f t="shared" si="2"/>
        <v>No</v>
      </c>
      <c r="I50" s="3">
        <f t="shared" si="1"/>
        <v>2.8471888515136934E-2</v>
      </c>
    </row>
    <row r="51" spans="1:9" x14ac:dyDescent="0.3">
      <c r="A51" s="1">
        <v>41821</v>
      </c>
      <c r="B51">
        <v>94.24</v>
      </c>
      <c r="C51">
        <v>97.51</v>
      </c>
      <c r="D51">
        <v>93.63</v>
      </c>
      <c r="E51">
        <v>95.02</v>
      </c>
      <c r="F51">
        <v>86.85</v>
      </c>
      <c r="G51">
        <v>661530400</v>
      </c>
      <c r="H51" t="str">
        <f t="shared" si="2"/>
        <v>No</v>
      </c>
      <c r="I51" s="3">
        <f t="shared" si="1"/>
        <v>1.4484289218549273E-2</v>
      </c>
    </row>
    <row r="52" spans="1:9" x14ac:dyDescent="0.3">
      <c r="A52" s="1">
        <v>41852</v>
      </c>
      <c r="B52">
        <v>94.82</v>
      </c>
      <c r="C52">
        <v>99.91</v>
      </c>
      <c r="D52">
        <v>93.89</v>
      </c>
      <c r="E52">
        <v>99.78</v>
      </c>
      <c r="F52">
        <v>91.2</v>
      </c>
      <c r="G52">
        <v>645904700</v>
      </c>
      <c r="H52" t="str">
        <f t="shared" si="2"/>
        <v>No</v>
      </c>
      <c r="I52" s="3">
        <f t="shared" si="1"/>
        <v>5.0086355785837755E-2</v>
      </c>
    </row>
    <row r="53" spans="1:9" x14ac:dyDescent="0.3">
      <c r="A53" s="1">
        <v>41883</v>
      </c>
      <c r="B53">
        <v>100.02</v>
      </c>
      <c r="C53">
        <v>100.56</v>
      </c>
      <c r="D53">
        <v>97.7</v>
      </c>
      <c r="E53">
        <v>98.79</v>
      </c>
      <c r="F53">
        <v>90.3</v>
      </c>
      <c r="G53">
        <v>755958700</v>
      </c>
      <c r="H53" t="str">
        <f t="shared" si="2"/>
        <v>No</v>
      </c>
      <c r="I53" s="3">
        <f t="shared" si="1"/>
        <v>-9.8684210526316374E-3</v>
      </c>
    </row>
    <row r="54" spans="1:9" x14ac:dyDescent="0.3">
      <c r="A54" s="1">
        <v>41913</v>
      </c>
      <c r="B54">
        <v>98.51</v>
      </c>
      <c r="C54">
        <v>101.75</v>
      </c>
      <c r="D54">
        <v>90.24</v>
      </c>
      <c r="E54">
        <v>101.4</v>
      </c>
      <c r="F54">
        <v>92.9</v>
      </c>
      <c r="G54">
        <v>1285037500</v>
      </c>
      <c r="H54" t="str">
        <f t="shared" si="2"/>
        <v>No</v>
      </c>
      <c r="I54" s="3">
        <f t="shared" si="1"/>
        <v>2.8792912513842861E-2</v>
      </c>
    </row>
    <row r="55" spans="1:9" x14ac:dyDescent="0.3">
      <c r="A55" s="1">
        <v>41944</v>
      </c>
      <c r="B55">
        <v>101.58</v>
      </c>
      <c r="C55">
        <v>106.25</v>
      </c>
      <c r="D55">
        <v>100.67</v>
      </c>
      <c r="E55">
        <v>106.01</v>
      </c>
      <c r="F55">
        <v>97.13</v>
      </c>
      <c r="G55">
        <v>434990100</v>
      </c>
      <c r="H55" t="str">
        <f t="shared" si="2"/>
        <v>No</v>
      </c>
      <c r="I55" s="3">
        <f t="shared" si="1"/>
        <v>4.5532831001076302E-2</v>
      </c>
    </row>
    <row r="56" spans="1:9" x14ac:dyDescent="0.3">
      <c r="A56" s="1">
        <v>41974</v>
      </c>
      <c r="B56">
        <v>105.72</v>
      </c>
      <c r="C56">
        <v>105.92</v>
      </c>
      <c r="D56">
        <v>99.92</v>
      </c>
      <c r="E56">
        <v>103.25</v>
      </c>
      <c r="F56">
        <v>94.6</v>
      </c>
      <c r="G56">
        <v>815702200</v>
      </c>
      <c r="H56" t="str">
        <f t="shared" si="2"/>
        <v>No</v>
      </c>
      <c r="I56" s="3">
        <f t="shared" si="1"/>
        <v>-2.6047565118912819E-2</v>
      </c>
    </row>
    <row r="57" spans="1:9" x14ac:dyDescent="0.3">
      <c r="A57" s="1">
        <v>42005</v>
      </c>
      <c r="B57">
        <v>103.76</v>
      </c>
      <c r="C57">
        <v>104.58</v>
      </c>
      <c r="D57">
        <v>99.36</v>
      </c>
      <c r="E57">
        <v>101.1</v>
      </c>
      <c r="F57">
        <v>92.97</v>
      </c>
      <c r="G57">
        <v>826291600</v>
      </c>
      <c r="H57" t="str">
        <f t="shared" si="2"/>
        <v>No</v>
      </c>
      <c r="I57" s="3">
        <f t="shared" si="1"/>
        <v>-1.7230443974630028E-2</v>
      </c>
    </row>
    <row r="58" spans="1:9" x14ac:dyDescent="0.3">
      <c r="A58" s="1">
        <v>42036</v>
      </c>
      <c r="B58">
        <v>101.33</v>
      </c>
      <c r="C58">
        <v>108.94</v>
      </c>
      <c r="D58">
        <v>99.75</v>
      </c>
      <c r="E58">
        <v>108.4</v>
      </c>
      <c r="F58">
        <v>99.69</v>
      </c>
      <c r="G58">
        <v>472456500</v>
      </c>
      <c r="H58" t="str">
        <f t="shared" si="2"/>
        <v>No</v>
      </c>
      <c r="I58" s="3">
        <f t="shared" si="1"/>
        <v>7.228138109067439E-2</v>
      </c>
    </row>
    <row r="59" spans="1:9" x14ac:dyDescent="0.3">
      <c r="A59" s="1">
        <v>42064</v>
      </c>
      <c r="B59">
        <v>108.61</v>
      </c>
      <c r="C59">
        <v>109.42</v>
      </c>
      <c r="D59">
        <v>104.24</v>
      </c>
      <c r="E59">
        <v>105.6</v>
      </c>
      <c r="F59">
        <v>97.11</v>
      </c>
      <c r="G59">
        <v>633635600</v>
      </c>
      <c r="H59" t="str">
        <f t="shared" si="2"/>
        <v>No</v>
      </c>
      <c r="I59" s="3">
        <f t="shared" si="1"/>
        <v>-2.5880228708997866E-2</v>
      </c>
    </row>
    <row r="60" spans="1:9" x14ac:dyDescent="0.3">
      <c r="A60" s="1">
        <v>42095</v>
      </c>
      <c r="B60">
        <v>105.6</v>
      </c>
      <c r="C60">
        <v>111.16</v>
      </c>
      <c r="D60">
        <v>104.34</v>
      </c>
      <c r="E60">
        <v>107.63</v>
      </c>
      <c r="F60">
        <v>99.21</v>
      </c>
      <c r="G60">
        <v>568699300</v>
      </c>
      <c r="H60" t="str">
        <f t="shared" si="2"/>
        <v>No</v>
      </c>
      <c r="I60" s="3">
        <f t="shared" si="1"/>
        <v>2.1624961383997388E-2</v>
      </c>
    </row>
    <row r="61" spans="1:9" x14ac:dyDescent="0.3">
      <c r="A61" s="1">
        <v>42125</v>
      </c>
      <c r="B61">
        <v>108.05</v>
      </c>
      <c r="C61">
        <v>111.08</v>
      </c>
      <c r="D61">
        <v>106</v>
      </c>
      <c r="E61">
        <v>110.05</v>
      </c>
      <c r="F61">
        <v>101.44</v>
      </c>
      <c r="G61">
        <v>518233500</v>
      </c>
      <c r="H61" t="str">
        <f t="shared" si="2"/>
        <v>No</v>
      </c>
      <c r="I61" s="3">
        <f t="shared" si="1"/>
        <v>2.2477572825320147E-2</v>
      </c>
    </row>
    <row r="62" spans="1:9" x14ac:dyDescent="0.3">
      <c r="A62" s="1">
        <v>42156</v>
      </c>
      <c r="B62">
        <v>110.64</v>
      </c>
      <c r="C62">
        <v>111.13</v>
      </c>
      <c r="D62">
        <v>106.64</v>
      </c>
      <c r="E62">
        <v>107.07</v>
      </c>
      <c r="F62">
        <v>98.69</v>
      </c>
      <c r="G62">
        <v>577030600</v>
      </c>
      <c r="H62" t="str">
        <f t="shared" si="2"/>
        <v>No</v>
      </c>
      <c r="I62" s="3">
        <f t="shared" si="1"/>
        <v>-2.7109621451104071E-2</v>
      </c>
    </row>
    <row r="63" spans="1:9" x14ac:dyDescent="0.3">
      <c r="A63" s="1">
        <v>42186</v>
      </c>
      <c r="B63">
        <v>108.13</v>
      </c>
      <c r="C63">
        <v>114.39</v>
      </c>
      <c r="D63">
        <v>105.83</v>
      </c>
      <c r="E63">
        <v>111.95</v>
      </c>
      <c r="F63">
        <v>103.42</v>
      </c>
      <c r="G63">
        <v>644885700</v>
      </c>
      <c r="H63" t="str">
        <f t="shared" si="2"/>
        <v>No</v>
      </c>
      <c r="I63" s="3">
        <f t="shared" si="1"/>
        <v>4.7927854899179279E-2</v>
      </c>
    </row>
    <row r="64" spans="1:9" x14ac:dyDescent="0.3">
      <c r="A64" s="1">
        <v>42217</v>
      </c>
      <c r="B64">
        <v>111.97</v>
      </c>
      <c r="C64">
        <v>113</v>
      </c>
      <c r="D64">
        <v>84.74</v>
      </c>
      <c r="E64">
        <v>104.31</v>
      </c>
      <c r="F64">
        <v>96.37</v>
      </c>
      <c r="G64">
        <v>1010304800</v>
      </c>
      <c r="H64" t="str">
        <f t="shared" si="2"/>
        <v>No</v>
      </c>
      <c r="I64" s="3">
        <f t="shared" si="1"/>
        <v>-6.8168632759620928E-2</v>
      </c>
    </row>
    <row r="65" spans="1:9" x14ac:dyDescent="0.3">
      <c r="A65" s="1">
        <v>42248</v>
      </c>
      <c r="B65">
        <v>101.71</v>
      </c>
      <c r="C65">
        <v>108.73</v>
      </c>
      <c r="D65">
        <v>98.75</v>
      </c>
      <c r="E65">
        <v>101.76</v>
      </c>
      <c r="F65">
        <v>94.01</v>
      </c>
      <c r="G65">
        <v>881201500</v>
      </c>
      <c r="H65" t="str">
        <f t="shared" si="2"/>
        <v>No</v>
      </c>
      <c r="I65" s="3">
        <f t="shared" si="1"/>
        <v>-2.4488948843000902E-2</v>
      </c>
    </row>
    <row r="66" spans="1:9" x14ac:dyDescent="0.3">
      <c r="A66" s="1">
        <v>42278</v>
      </c>
      <c r="B66">
        <v>101.94</v>
      </c>
      <c r="C66">
        <v>114.08</v>
      </c>
      <c r="D66">
        <v>100.48</v>
      </c>
      <c r="E66">
        <v>113.33</v>
      </c>
      <c r="F66">
        <v>104.95</v>
      </c>
      <c r="G66">
        <v>740627200</v>
      </c>
      <c r="H66" t="str">
        <f t="shared" ref="H66:H97" si="3">IF(ISNUMBER(SEARCH("Dividend",B66)),"Yes","No")</f>
        <v>No</v>
      </c>
      <c r="I66" s="3">
        <f t="shared" si="1"/>
        <v>0.11637059887246037</v>
      </c>
    </row>
    <row r="67" spans="1:9" x14ac:dyDescent="0.3">
      <c r="A67" s="1">
        <v>42309</v>
      </c>
      <c r="B67">
        <v>113.63</v>
      </c>
      <c r="C67">
        <v>115.47</v>
      </c>
      <c r="D67">
        <v>109.48</v>
      </c>
      <c r="E67">
        <v>114.02</v>
      </c>
      <c r="F67">
        <v>105.59</v>
      </c>
      <c r="G67">
        <v>543413300</v>
      </c>
      <c r="H67" t="str">
        <f t="shared" si="3"/>
        <v>No</v>
      </c>
      <c r="I67" s="3">
        <f t="shared" si="1"/>
        <v>6.0981419723677988E-3</v>
      </c>
    </row>
    <row r="68" spans="1:9" x14ac:dyDescent="0.3">
      <c r="A68" s="1">
        <v>42339</v>
      </c>
      <c r="B68">
        <v>114.48</v>
      </c>
      <c r="C68">
        <v>115.75</v>
      </c>
      <c r="D68">
        <v>109.38</v>
      </c>
      <c r="E68">
        <v>111.86</v>
      </c>
      <c r="F68">
        <v>103.59</v>
      </c>
      <c r="G68">
        <v>757497500</v>
      </c>
      <c r="H68" t="str">
        <f t="shared" si="3"/>
        <v>No</v>
      </c>
      <c r="I68" s="3">
        <f t="shared" ref="I68:I131" si="4">(F68/F67)-1</f>
        <v>-1.8941187612463328E-2</v>
      </c>
    </row>
    <row r="69" spans="1:9" x14ac:dyDescent="0.3">
      <c r="A69" s="1">
        <v>42370</v>
      </c>
      <c r="B69">
        <v>109.45</v>
      </c>
      <c r="C69">
        <v>110.18</v>
      </c>
      <c r="D69">
        <v>97.25</v>
      </c>
      <c r="E69">
        <v>104.13</v>
      </c>
      <c r="F69">
        <v>96.73</v>
      </c>
      <c r="G69">
        <v>1077308200</v>
      </c>
      <c r="H69" t="str">
        <f t="shared" si="3"/>
        <v>No</v>
      </c>
      <c r="I69" s="3">
        <f t="shared" si="4"/>
        <v>-6.6222608359880253E-2</v>
      </c>
    </row>
    <row r="70" spans="1:9" x14ac:dyDescent="0.3">
      <c r="A70" s="1">
        <v>42401</v>
      </c>
      <c r="B70">
        <v>103.63</v>
      </c>
      <c r="C70">
        <v>104.8</v>
      </c>
      <c r="D70">
        <v>94.84</v>
      </c>
      <c r="E70">
        <v>102.5</v>
      </c>
      <c r="F70">
        <v>95.21</v>
      </c>
      <c r="G70">
        <v>942259600</v>
      </c>
      <c r="H70" t="str">
        <f t="shared" si="3"/>
        <v>No</v>
      </c>
      <c r="I70" s="3">
        <f t="shared" si="4"/>
        <v>-1.571384265481246E-2</v>
      </c>
    </row>
    <row r="71" spans="1:9" x14ac:dyDescent="0.3">
      <c r="A71" s="1">
        <v>42430</v>
      </c>
      <c r="B71">
        <v>103.48</v>
      </c>
      <c r="C71">
        <v>110.04</v>
      </c>
      <c r="D71">
        <v>103.16</v>
      </c>
      <c r="E71">
        <v>109.2</v>
      </c>
      <c r="F71">
        <v>101.44</v>
      </c>
      <c r="G71">
        <v>601605100</v>
      </c>
      <c r="H71" t="str">
        <f t="shared" si="3"/>
        <v>No</v>
      </c>
      <c r="I71" s="3">
        <f t="shared" si="4"/>
        <v>6.5434303119420223E-2</v>
      </c>
    </row>
    <row r="72" spans="1:9" x14ac:dyDescent="0.3">
      <c r="A72" s="1">
        <v>42461</v>
      </c>
      <c r="B72">
        <v>108.54</v>
      </c>
      <c r="C72">
        <v>111.44</v>
      </c>
      <c r="D72">
        <v>104.88</v>
      </c>
      <c r="E72">
        <v>105.72</v>
      </c>
      <c r="F72">
        <v>98.5</v>
      </c>
      <c r="G72">
        <v>559253800</v>
      </c>
      <c r="H72" t="str">
        <f t="shared" si="3"/>
        <v>No</v>
      </c>
      <c r="I72" s="3">
        <f t="shared" si="4"/>
        <v>-2.898264984227128E-2</v>
      </c>
    </row>
    <row r="73" spans="1:9" x14ac:dyDescent="0.3">
      <c r="A73" s="1">
        <v>42491</v>
      </c>
      <c r="B73">
        <v>105.99</v>
      </c>
      <c r="C73">
        <v>110.51</v>
      </c>
      <c r="D73">
        <v>104.4</v>
      </c>
      <c r="E73">
        <v>110.34</v>
      </c>
      <c r="F73">
        <v>102.8</v>
      </c>
      <c r="G73">
        <v>536482700</v>
      </c>
      <c r="H73" t="str">
        <f t="shared" si="3"/>
        <v>No</v>
      </c>
      <c r="I73" s="3">
        <f t="shared" si="4"/>
        <v>4.3654822335025267E-2</v>
      </c>
    </row>
    <row r="74" spans="1:9" x14ac:dyDescent="0.3">
      <c r="A74" s="1">
        <v>42522</v>
      </c>
      <c r="B74">
        <v>110</v>
      </c>
      <c r="C74">
        <v>110.75</v>
      </c>
      <c r="D74">
        <v>101.75</v>
      </c>
      <c r="E74">
        <v>107.54</v>
      </c>
      <c r="F74">
        <v>100.19</v>
      </c>
      <c r="G74">
        <v>577926300</v>
      </c>
      <c r="H74" t="str">
        <f t="shared" si="3"/>
        <v>No</v>
      </c>
      <c r="I74" s="3">
        <f t="shared" si="4"/>
        <v>-2.538910505836578E-2</v>
      </c>
    </row>
    <row r="75" spans="1:9" x14ac:dyDescent="0.3">
      <c r="A75" s="1">
        <v>42552</v>
      </c>
      <c r="B75">
        <v>107.49</v>
      </c>
      <c r="C75">
        <v>115.54</v>
      </c>
      <c r="D75">
        <v>106.57</v>
      </c>
      <c r="E75">
        <v>115.23</v>
      </c>
      <c r="F75">
        <v>107.64</v>
      </c>
      <c r="G75">
        <v>421072600</v>
      </c>
      <c r="H75" t="str">
        <f t="shared" si="3"/>
        <v>No</v>
      </c>
      <c r="I75" s="3">
        <f t="shared" si="4"/>
        <v>7.4358718434973659E-2</v>
      </c>
    </row>
    <row r="76" spans="1:9" x14ac:dyDescent="0.3">
      <c r="A76" s="1">
        <v>42583</v>
      </c>
      <c r="B76">
        <v>115.31</v>
      </c>
      <c r="C76">
        <v>118.01</v>
      </c>
      <c r="D76">
        <v>114.22</v>
      </c>
      <c r="E76">
        <v>116.44</v>
      </c>
      <c r="F76">
        <v>108.77</v>
      </c>
      <c r="G76">
        <v>369269900</v>
      </c>
      <c r="H76" t="str">
        <f t="shared" si="3"/>
        <v>No</v>
      </c>
      <c r="I76" s="3">
        <f t="shared" si="4"/>
        <v>1.0497956150129939E-2</v>
      </c>
    </row>
    <row r="77" spans="1:9" x14ac:dyDescent="0.3">
      <c r="A77" s="1">
        <v>42614</v>
      </c>
      <c r="B77">
        <v>116.48</v>
      </c>
      <c r="C77">
        <v>119.22</v>
      </c>
      <c r="D77">
        <v>113.63</v>
      </c>
      <c r="E77">
        <v>118.72</v>
      </c>
      <c r="F77">
        <v>110.9</v>
      </c>
      <c r="G77">
        <v>540756600</v>
      </c>
      <c r="H77" t="str">
        <f t="shared" si="3"/>
        <v>No</v>
      </c>
      <c r="I77" s="3">
        <f t="shared" si="4"/>
        <v>1.9582605497839634E-2</v>
      </c>
    </row>
    <row r="78" spans="1:9" x14ac:dyDescent="0.3">
      <c r="A78" s="1">
        <v>42644</v>
      </c>
      <c r="B78">
        <v>118.57</v>
      </c>
      <c r="C78">
        <v>119.66</v>
      </c>
      <c r="D78">
        <v>115.94</v>
      </c>
      <c r="E78">
        <v>116.99</v>
      </c>
      <c r="F78">
        <v>109.56</v>
      </c>
      <c r="G78">
        <v>406941800</v>
      </c>
      <c r="H78" t="str">
        <f t="shared" si="3"/>
        <v>No</v>
      </c>
      <c r="I78" s="3">
        <f t="shared" si="4"/>
        <v>-1.2082957619477086E-2</v>
      </c>
    </row>
    <row r="79" spans="1:9" x14ac:dyDescent="0.3">
      <c r="A79" s="1">
        <v>42675</v>
      </c>
      <c r="B79">
        <v>117.19</v>
      </c>
      <c r="C79">
        <v>119.51</v>
      </c>
      <c r="D79">
        <v>113.45</v>
      </c>
      <c r="E79">
        <v>117.5</v>
      </c>
      <c r="F79">
        <v>110.04</v>
      </c>
      <c r="G79">
        <v>598118800</v>
      </c>
      <c r="H79" t="str">
        <f t="shared" si="3"/>
        <v>No</v>
      </c>
      <c r="I79" s="3">
        <f t="shared" si="4"/>
        <v>4.381161007667167E-3</v>
      </c>
    </row>
    <row r="80" spans="1:9" x14ac:dyDescent="0.3">
      <c r="A80" s="1">
        <v>42705</v>
      </c>
      <c r="B80">
        <v>117.46</v>
      </c>
      <c r="C80">
        <v>121.52</v>
      </c>
      <c r="D80">
        <v>115.22</v>
      </c>
      <c r="E80">
        <v>118.48</v>
      </c>
      <c r="F80">
        <v>110.96</v>
      </c>
      <c r="G80">
        <v>498414300</v>
      </c>
      <c r="H80" t="str">
        <f t="shared" si="3"/>
        <v>No</v>
      </c>
      <c r="I80" s="3">
        <f t="shared" si="4"/>
        <v>8.3605961468555812E-3</v>
      </c>
    </row>
    <row r="81" spans="1:9" x14ac:dyDescent="0.3">
      <c r="A81" s="1">
        <v>42736</v>
      </c>
      <c r="B81">
        <v>119.27</v>
      </c>
      <c r="C81">
        <v>125.92</v>
      </c>
      <c r="D81">
        <v>118.89</v>
      </c>
      <c r="E81">
        <v>124.57</v>
      </c>
      <c r="F81">
        <v>117.01</v>
      </c>
      <c r="G81">
        <v>366254600</v>
      </c>
      <c r="H81" t="str">
        <f t="shared" si="3"/>
        <v>No</v>
      </c>
      <c r="I81" s="3">
        <f t="shared" si="4"/>
        <v>5.4524152847873264E-2</v>
      </c>
    </row>
    <row r="82" spans="1:9" x14ac:dyDescent="0.3">
      <c r="A82" s="1">
        <v>42767</v>
      </c>
      <c r="B82">
        <v>125.45</v>
      </c>
      <c r="C82">
        <v>130.69999999999999</v>
      </c>
      <c r="D82">
        <v>124.86</v>
      </c>
      <c r="E82">
        <v>130.02000000000001</v>
      </c>
      <c r="F82">
        <v>122.12</v>
      </c>
      <c r="G82">
        <v>307437600</v>
      </c>
      <c r="H82" t="str">
        <f t="shared" si="3"/>
        <v>No</v>
      </c>
      <c r="I82" s="3">
        <f t="shared" si="4"/>
        <v>4.3671481069994078E-2</v>
      </c>
    </row>
    <row r="83" spans="1:9" x14ac:dyDescent="0.3">
      <c r="A83" s="1">
        <v>42795</v>
      </c>
      <c r="B83">
        <v>130.85</v>
      </c>
      <c r="C83">
        <v>132.74</v>
      </c>
      <c r="D83">
        <v>129.4</v>
      </c>
      <c r="E83">
        <v>132.38</v>
      </c>
      <c r="F83">
        <v>124.34</v>
      </c>
      <c r="G83">
        <v>442963500</v>
      </c>
      <c r="H83" t="str">
        <f t="shared" si="3"/>
        <v>No</v>
      </c>
      <c r="I83" s="3">
        <f t="shared" si="4"/>
        <v>1.8178840484769143E-2</v>
      </c>
    </row>
    <row r="84" spans="1:9" x14ac:dyDescent="0.3">
      <c r="A84" s="1">
        <v>42826</v>
      </c>
      <c r="B84">
        <v>132.49</v>
      </c>
      <c r="C84">
        <v>136.34</v>
      </c>
      <c r="D84">
        <v>130.38</v>
      </c>
      <c r="E84">
        <v>135.99</v>
      </c>
      <c r="F84">
        <v>128</v>
      </c>
      <c r="G84">
        <v>388248100</v>
      </c>
      <c r="H84" t="str">
        <f t="shared" si="3"/>
        <v>No</v>
      </c>
      <c r="I84" s="3">
        <f t="shared" si="4"/>
        <v>2.9435419012385333E-2</v>
      </c>
    </row>
    <row r="85" spans="1:9" x14ac:dyDescent="0.3">
      <c r="A85" s="1">
        <v>42856</v>
      </c>
      <c r="B85">
        <v>136.44</v>
      </c>
      <c r="C85">
        <v>141.84</v>
      </c>
      <c r="D85">
        <v>135.87</v>
      </c>
      <c r="E85">
        <v>141.29</v>
      </c>
      <c r="F85">
        <v>132.99</v>
      </c>
      <c r="G85">
        <v>532489700</v>
      </c>
      <c r="H85" t="str">
        <f t="shared" si="3"/>
        <v>No</v>
      </c>
      <c r="I85" s="3">
        <f t="shared" si="4"/>
        <v>3.8984375000000071E-2</v>
      </c>
    </row>
    <row r="86" spans="1:9" x14ac:dyDescent="0.3">
      <c r="A86" s="1">
        <v>42887</v>
      </c>
      <c r="B86">
        <v>141.58000000000001</v>
      </c>
      <c r="C86">
        <v>143.9</v>
      </c>
      <c r="D86">
        <v>136.25</v>
      </c>
      <c r="E86">
        <v>137.63999999999999</v>
      </c>
      <c r="F86">
        <v>129.55000000000001</v>
      </c>
      <c r="G86">
        <v>1046003200</v>
      </c>
      <c r="H86" t="str">
        <f t="shared" si="3"/>
        <v>No</v>
      </c>
      <c r="I86" s="3">
        <f t="shared" si="4"/>
        <v>-2.5866606511767753E-2</v>
      </c>
    </row>
    <row r="87" spans="1:9" x14ac:dyDescent="0.3">
      <c r="A87" s="1">
        <v>42917</v>
      </c>
      <c r="B87">
        <v>138.27000000000001</v>
      </c>
      <c r="C87">
        <v>145.96</v>
      </c>
      <c r="D87">
        <v>135.80000000000001</v>
      </c>
      <c r="E87">
        <v>143.22999999999999</v>
      </c>
      <c r="F87">
        <v>135.18</v>
      </c>
      <c r="G87">
        <v>705002300</v>
      </c>
      <c r="H87" t="str">
        <f t="shared" si="3"/>
        <v>No</v>
      </c>
      <c r="I87" s="3">
        <f t="shared" si="4"/>
        <v>4.3458124276341215E-2</v>
      </c>
    </row>
    <row r="88" spans="1:9" x14ac:dyDescent="0.3">
      <c r="A88" s="1">
        <v>42948</v>
      </c>
      <c r="B88">
        <v>143.72</v>
      </c>
      <c r="C88">
        <v>146.21</v>
      </c>
      <c r="D88">
        <v>140.18</v>
      </c>
      <c r="E88">
        <v>146.19999999999999</v>
      </c>
      <c r="F88">
        <v>137.97999999999999</v>
      </c>
      <c r="G88">
        <v>810771900</v>
      </c>
      <c r="H88" t="str">
        <f t="shared" si="3"/>
        <v>No</v>
      </c>
      <c r="I88" s="3">
        <f t="shared" si="4"/>
        <v>2.0713123243083276E-2</v>
      </c>
    </row>
    <row r="89" spans="1:9" x14ac:dyDescent="0.3">
      <c r="A89" s="1">
        <v>42979</v>
      </c>
      <c r="B89">
        <v>146.38999999999999</v>
      </c>
      <c r="C89">
        <v>146.59</v>
      </c>
      <c r="D89">
        <v>142.1</v>
      </c>
      <c r="E89">
        <v>145.44999999999999</v>
      </c>
      <c r="F89">
        <v>137.27000000000001</v>
      </c>
      <c r="G89">
        <v>631562000</v>
      </c>
      <c r="H89" t="str">
        <f t="shared" si="3"/>
        <v>No</v>
      </c>
      <c r="I89" s="3">
        <f t="shared" si="4"/>
        <v>-5.1456732859833654E-3</v>
      </c>
    </row>
    <row r="90" spans="1:9" x14ac:dyDescent="0.3">
      <c r="A90" s="1">
        <v>43009</v>
      </c>
      <c r="B90">
        <v>145.66999999999999</v>
      </c>
      <c r="C90">
        <v>152.37</v>
      </c>
      <c r="D90">
        <v>144.93</v>
      </c>
      <c r="E90">
        <v>152.15</v>
      </c>
      <c r="F90">
        <v>143.91</v>
      </c>
      <c r="G90">
        <v>549094600</v>
      </c>
      <c r="H90" t="str">
        <f t="shared" si="3"/>
        <v>No</v>
      </c>
      <c r="I90" s="3">
        <f t="shared" si="4"/>
        <v>4.8371821956727512E-2</v>
      </c>
    </row>
    <row r="91" spans="1:9" x14ac:dyDescent="0.3">
      <c r="A91" s="1">
        <v>43040</v>
      </c>
      <c r="B91">
        <v>152.76</v>
      </c>
      <c r="C91">
        <v>156.69</v>
      </c>
      <c r="D91">
        <v>150.77000000000001</v>
      </c>
      <c r="E91">
        <v>155.15</v>
      </c>
      <c r="F91">
        <v>146.75</v>
      </c>
      <c r="G91">
        <v>584198400</v>
      </c>
      <c r="H91" t="str">
        <f t="shared" si="3"/>
        <v>No</v>
      </c>
      <c r="I91" s="3">
        <f t="shared" si="4"/>
        <v>1.973455631992227E-2</v>
      </c>
    </row>
    <row r="92" spans="1:9" x14ac:dyDescent="0.3">
      <c r="A92" s="1">
        <v>43070</v>
      </c>
      <c r="B92">
        <v>154.19999999999999</v>
      </c>
      <c r="C92">
        <v>158.77000000000001</v>
      </c>
      <c r="D92">
        <v>152.06</v>
      </c>
      <c r="E92">
        <v>155.76</v>
      </c>
      <c r="F92">
        <v>147.33000000000001</v>
      </c>
      <c r="G92">
        <v>622383900</v>
      </c>
      <c r="H92" t="str">
        <f t="shared" si="3"/>
        <v>No</v>
      </c>
      <c r="I92" s="3">
        <f t="shared" si="4"/>
        <v>3.9522998296424028E-3</v>
      </c>
    </row>
    <row r="93" spans="1:9" x14ac:dyDescent="0.3">
      <c r="A93" s="1">
        <v>43101</v>
      </c>
      <c r="B93">
        <v>156.56</v>
      </c>
      <c r="C93">
        <v>170.95</v>
      </c>
      <c r="D93">
        <v>156.16999999999999</v>
      </c>
      <c r="E93">
        <v>169.4</v>
      </c>
      <c r="F93">
        <v>160.56</v>
      </c>
      <c r="G93">
        <v>698394900</v>
      </c>
      <c r="H93" t="str">
        <f t="shared" si="3"/>
        <v>No</v>
      </c>
      <c r="I93" s="3">
        <f t="shared" si="4"/>
        <v>8.979841172877201E-2</v>
      </c>
    </row>
    <row r="94" spans="1:9" x14ac:dyDescent="0.3">
      <c r="A94" s="1">
        <v>43132</v>
      </c>
      <c r="B94">
        <v>168.1</v>
      </c>
      <c r="C94">
        <v>170.73</v>
      </c>
      <c r="D94">
        <v>150.13</v>
      </c>
      <c r="E94">
        <v>167.21</v>
      </c>
      <c r="F94">
        <v>158.49</v>
      </c>
      <c r="G94">
        <v>1179841200</v>
      </c>
      <c r="H94" t="str">
        <f t="shared" si="3"/>
        <v>No</v>
      </c>
      <c r="I94" s="3">
        <f t="shared" si="4"/>
        <v>-1.2892376681614359E-2</v>
      </c>
    </row>
    <row r="95" spans="1:9" x14ac:dyDescent="0.3">
      <c r="A95" s="1">
        <v>43160</v>
      </c>
      <c r="B95">
        <v>167.3</v>
      </c>
      <c r="C95">
        <v>175.21</v>
      </c>
      <c r="D95">
        <v>156.04</v>
      </c>
      <c r="E95">
        <v>160.13</v>
      </c>
      <c r="F95">
        <v>151.78</v>
      </c>
      <c r="G95">
        <v>1085306700</v>
      </c>
      <c r="H95" t="str">
        <f t="shared" si="3"/>
        <v>No</v>
      </c>
      <c r="I95" s="3">
        <f t="shared" si="4"/>
        <v>-4.2337055965676162E-2</v>
      </c>
    </row>
    <row r="96" spans="1:9" x14ac:dyDescent="0.3">
      <c r="A96" s="1">
        <v>43191</v>
      </c>
      <c r="B96">
        <v>158.99</v>
      </c>
      <c r="C96">
        <v>167</v>
      </c>
      <c r="D96">
        <v>153.88</v>
      </c>
      <c r="E96">
        <v>160.94</v>
      </c>
      <c r="F96">
        <v>152.79</v>
      </c>
      <c r="G96">
        <v>987380500</v>
      </c>
      <c r="H96" t="str">
        <f t="shared" si="3"/>
        <v>No</v>
      </c>
      <c r="I96" s="3">
        <f t="shared" si="4"/>
        <v>6.6543681644484209E-3</v>
      </c>
    </row>
    <row r="97" spans="1:9" x14ac:dyDescent="0.3">
      <c r="A97" s="1">
        <v>43221</v>
      </c>
      <c r="B97">
        <v>160.52000000000001</v>
      </c>
      <c r="C97">
        <v>171.2</v>
      </c>
      <c r="D97">
        <v>159.22</v>
      </c>
      <c r="E97">
        <v>170.07</v>
      </c>
      <c r="F97">
        <v>161.46</v>
      </c>
      <c r="G97">
        <v>687987000</v>
      </c>
      <c r="H97" t="str">
        <f t="shared" si="3"/>
        <v>No</v>
      </c>
      <c r="I97" s="3">
        <f t="shared" si="4"/>
        <v>5.6744551344983352E-2</v>
      </c>
    </row>
    <row r="98" spans="1:9" x14ac:dyDescent="0.3">
      <c r="A98" s="1">
        <v>43252</v>
      </c>
      <c r="B98">
        <v>170.92</v>
      </c>
      <c r="C98">
        <v>177.98</v>
      </c>
      <c r="D98">
        <v>169.17</v>
      </c>
      <c r="E98">
        <v>171.65</v>
      </c>
      <c r="F98">
        <v>162.96</v>
      </c>
      <c r="G98">
        <v>784338500</v>
      </c>
      <c r="H98" t="str">
        <f t="shared" ref="H98:H129" si="5">IF(ISNUMBER(SEARCH("Dividend",B98)),"Yes","No")</f>
        <v>No</v>
      </c>
      <c r="I98" s="3">
        <f t="shared" si="4"/>
        <v>9.2902266815311219E-3</v>
      </c>
    </row>
    <row r="99" spans="1:9" x14ac:dyDescent="0.3">
      <c r="A99" s="1">
        <v>43282</v>
      </c>
      <c r="B99">
        <v>170.04</v>
      </c>
      <c r="C99">
        <v>182.93</v>
      </c>
      <c r="D99">
        <v>169.67</v>
      </c>
      <c r="E99">
        <v>176.45</v>
      </c>
      <c r="F99">
        <v>167.88</v>
      </c>
      <c r="G99">
        <v>708010500</v>
      </c>
      <c r="H99" t="str">
        <f t="shared" si="5"/>
        <v>No</v>
      </c>
      <c r="I99" s="3">
        <f t="shared" si="4"/>
        <v>3.0191458026509466E-2</v>
      </c>
    </row>
    <row r="100" spans="1:9" x14ac:dyDescent="0.3">
      <c r="A100" s="1">
        <v>43313</v>
      </c>
      <c r="B100">
        <v>176.86</v>
      </c>
      <c r="C100">
        <v>187.52</v>
      </c>
      <c r="D100">
        <v>175.79</v>
      </c>
      <c r="E100">
        <v>186.65</v>
      </c>
      <c r="F100">
        <v>177.58</v>
      </c>
      <c r="G100">
        <v>667523000</v>
      </c>
      <c r="H100" t="str">
        <f t="shared" si="5"/>
        <v>No</v>
      </c>
      <c r="I100" s="3">
        <f t="shared" si="4"/>
        <v>5.7779366213962513E-2</v>
      </c>
    </row>
    <row r="101" spans="1:9" x14ac:dyDescent="0.3">
      <c r="A101" s="1">
        <v>43344</v>
      </c>
      <c r="B101">
        <v>186.08</v>
      </c>
      <c r="C101">
        <v>186.49</v>
      </c>
      <c r="D101">
        <v>180.44</v>
      </c>
      <c r="E101">
        <v>185.79</v>
      </c>
      <c r="F101">
        <v>176.76</v>
      </c>
      <c r="G101">
        <v>645534400</v>
      </c>
      <c r="H101" t="str">
        <f t="shared" si="5"/>
        <v>No</v>
      </c>
      <c r="I101" s="3">
        <f t="shared" si="4"/>
        <v>-4.6176371212975909E-3</v>
      </c>
    </row>
    <row r="102" spans="1:9" x14ac:dyDescent="0.3">
      <c r="A102" s="1">
        <v>43374</v>
      </c>
      <c r="B102">
        <v>186.87</v>
      </c>
      <c r="C102">
        <v>187.53</v>
      </c>
      <c r="D102">
        <v>160.09</v>
      </c>
      <c r="E102">
        <v>169.82</v>
      </c>
      <c r="F102">
        <v>161.86000000000001</v>
      </c>
      <c r="G102">
        <v>1817070600</v>
      </c>
      <c r="H102" t="str">
        <f t="shared" si="5"/>
        <v>No</v>
      </c>
      <c r="I102" s="3">
        <f t="shared" si="4"/>
        <v>-8.4295089386738908E-2</v>
      </c>
    </row>
    <row r="103" spans="1:9" x14ac:dyDescent="0.3">
      <c r="A103" s="1">
        <v>43405</v>
      </c>
      <c r="B103">
        <v>170.07</v>
      </c>
      <c r="C103">
        <v>175.58</v>
      </c>
      <c r="D103">
        <v>157.13</v>
      </c>
      <c r="E103">
        <v>169.37</v>
      </c>
      <c r="F103">
        <v>161.43</v>
      </c>
      <c r="G103">
        <v>1152121500</v>
      </c>
      <c r="H103" t="str">
        <f t="shared" si="5"/>
        <v>No</v>
      </c>
      <c r="I103" s="3">
        <f t="shared" si="4"/>
        <v>-2.6566168293586934E-3</v>
      </c>
    </row>
    <row r="104" spans="1:9" x14ac:dyDescent="0.3">
      <c r="A104" s="1">
        <v>43435</v>
      </c>
      <c r="B104">
        <v>173.11</v>
      </c>
      <c r="C104">
        <v>173.31</v>
      </c>
      <c r="D104">
        <v>143.46</v>
      </c>
      <c r="E104">
        <v>154.26</v>
      </c>
      <c r="F104">
        <v>147.03</v>
      </c>
      <c r="G104">
        <v>1395544900</v>
      </c>
      <c r="H104" t="str">
        <f t="shared" si="5"/>
        <v>No</v>
      </c>
      <c r="I104" s="3">
        <f t="shared" si="4"/>
        <v>-8.9202750418137966E-2</v>
      </c>
    </row>
    <row r="105" spans="1:9" x14ac:dyDescent="0.3">
      <c r="A105" s="1">
        <v>43466</v>
      </c>
      <c r="B105">
        <v>150.99</v>
      </c>
      <c r="C105">
        <v>168.99</v>
      </c>
      <c r="D105">
        <v>149.49</v>
      </c>
      <c r="E105">
        <v>168.16</v>
      </c>
      <c r="F105">
        <v>160.72999999999999</v>
      </c>
      <c r="G105">
        <v>933706500</v>
      </c>
      <c r="H105" t="str">
        <f t="shared" si="5"/>
        <v>No</v>
      </c>
      <c r="I105" s="3">
        <f t="shared" si="4"/>
        <v>9.3178262939536127E-2</v>
      </c>
    </row>
    <row r="106" spans="1:9" x14ac:dyDescent="0.3">
      <c r="A106" s="1">
        <v>43497</v>
      </c>
      <c r="B106">
        <v>167.33</v>
      </c>
      <c r="C106">
        <v>174.66</v>
      </c>
      <c r="D106">
        <v>166.57</v>
      </c>
      <c r="E106">
        <v>173.19</v>
      </c>
      <c r="F106">
        <v>165.54</v>
      </c>
      <c r="G106">
        <v>535964100</v>
      </c>
      <c r="H106" t="str">
        <f t="shared" si="5"/>
        <v>No</v>
      </c>
      <c r="I106" s="3">
        <f t="shared" si="4"/>
        <v>2.9925962794749017E-2</v>
      </c>
    </row>
    <row r="107" spans="1:9" x14ac:dyDescent="0.3">
      <c r="A107" s="1">
        <v>43525</v>
      </c>
      <c r="B107">
        <v>174.44</v>
      </c>
      <c r="C107">
        <v>182.83</v>
      </c>
      <c r="D107">
        <v>169.34</v>
      </c>
      <c r="E107">
        <v>179.66</v>
      </c>
      <c r="F107">
        <v>171.73</v>
      </c>
      <c r="G107">
        <v>781972700</v>
      </c>
      <c r="H107" t="str">
        <f t="shared" si="5"/>
        <v>No</v>
      </c>
      <c r="I107" s="3">
        <f t="shared" si="4"/>
        <v>3.7392775160082214E-2</v>
      </c>
    </row>
    <row r="108" spans="1:9" x14ac:dyDescent="0.3">
      <c r="A108" s="1">
        <v>43556</v>
      </c>
      <c r="B108">
        <v>181.51</v>
      </c>
      <c r="C108">
        <v>191.32</v>
      </c>
      <c r="D108">
        <v>180.77</v>
      </c>
      <c r="E108">
        <v>189.54</v>
      </c>
      <c r="F108">
        <v>181.5</v>
      </c>
      <c r="G108">
        <v>550157700</v>
      </c>
      <c r="H108" t="str">
        <f t="shared" si="5"/>
        <v>No</v>
      </c>
      <c r="I108" s="3">
        <f t="shared" si="4"/>
        <v>5.6891632213358134E-2</v>
      </c>
    </row>
    <row r="109" spans="1:9" x14ac:dyDescent="0.3">
      <c r="A109" s="1">
        <v>43586</v>
      </c>
      <c r="B109">
        <v>190.78</v>
      </c>
      <c r="C109">
        <v>191.32</v>
      </c>
      <c r="D109">
        <v>173.87</v>
      </c>
      <c r="E109">
        <v>173.95</v>
      </c>
      <c r="F109">
        <v>166.57</v>
      </c>
      <c r="G109">
        <v>901554000</v>
      </c>
      <c r="H109" t="str">
        <f t="shared" si="5"/>
        <v>No</v>
      </c>
      <c r="I109" s="3">
        <f t="shared" si="4"/>
        <v>-8.2258953168044102E-2</v>
      </c>
    </row>
    <row r="110" spans="1:9" x14ac:dyDescent="0.3">
      <c r="A110" s="1">
        <v>43617</v>
      </c>
      <c r="B110">
        <v>173.48</v>
      </c>
      <c r="C110">
        <v>189.77</v>
      </c>
      <c r="D110">
        <v>169.27</v>
      </c>
      <c r="E110">
        <v>186.74</v>
      </c>
      <c r="F110">
        <v>178.82</v>
      </c>
      <c r="G110">
        <v>688730400</v>
      </c>
      <c r="H110" t="str">
        <f t="shared" si="5"/>
        <v>No</v>
      </c>
      <c r="I110" s="3">
        <f t="shared" si="4"/>
        <v>7.354265473974908E-2</v>
      </c>
    </row>
    <row r="111" spans="1:9" x14ac:dyDescent="0.3">
      <c r="A111" s="1">
        <v>43647</v>
      </c>
      <c r="B111">
        <v>190.32</v>
      </c>
      <c r="C111">
        <v>195.55</v>
      </c>
      <c r="D111">
        <v>188.38</v>
      </c>
      <c r="E111">
        <v>191.1</v>
      </c>
      <c r="F111">
        <v>183.4</v>
      </c>
      <c r="G111">
        <v>494025500</v>
      </c>
      <c r="H111" t="str">
        <f t="shared" si="5"/>
        <v>No</v>
      </c>
      <c r="I111" s="3">
        <f t="shared" si="4"/>
        <v>2.5612347612123942E-2</v>
      </c>
    </row>
    <row r="112" spans="1:9" x14ac:dyDescent="0.3">
      <c r="A112" s="1">
        <v>43678</v>
      </c>
      <c r="B112">
        <v>191.43</v>
      </c>
      <c r="C112">
        <v>194.98</v>
      </c>
      <c r="D112">
        <v>179.2</v>
      </c>
      <c r="E112">
        <v>187.47</v>
      </c>
      <c r="F112">
        <v>179.91</v>
      </c>
      <c r="G112">
        <v>814286500</v>
      </c>
      <c r="H112" t="str">
        <f t="shared" si="5"/>
        <v>No</v>
      </c>
      <c r="I112" s="3">
        <f t="shared" si="4"/>
        <v>-1.9029443838604165E-2</v>
      </c>
    </row>
    <row r="113" spans="1:9" x14ac:dyDescent="0.3">
      <c r="A113" s="1">
        <v>43709</v>
      </c>
      <c r="B113">
        <v>186.22</v>
      </c>
      <c r="C113">
        <v>194.71</v>
      </c>
      <c r="D113">
        <v>185.03</v>
      </c>
      <c r="E113">
        <v>188.81</v>
      </c>
      <c r="F113">
        <v>181.2</v>
      </c>
      <c r="G113">
        <v>550650200</v>
      </c>
      <c r="H113" t="str">
        <f t="shared" si="5"/>
        <v>No</v>
      </c>
      <c r="I113" s="3">
        <f t="shared" si="4"/>
        <v>7.1702517925629206E-3</v>
      </c>
    </row>
    <row r="114" spans="1:9" x14ac:dyDescent="0.3">
      <c r="A114" s="1">
        <v>43739</v>
      </c>
      <c r="B114">
        <v>189.5</v>
      </c>
      <c r="C114">
        <v>197.83</v>
      </c>
      <c r="D114">
        <v>181.82</v>
      </c>
      <c r="E114">
        <v>197.08</v>
      </c>
      <c r="F114">
        <v>189.52</v>
      </c>
      <c r="G114">
        <v>576983400</v>
      </c>
      <c r="H114" t="str">
        <f t="shared" si="5"/>
        <v>No</v>
      </c>
      <c r="I114" s="3">
        <f t="shared" si="4"/>
        <v>4.5916114790287121E-2</v>
      </c>
    </row>
    <row r="115" spans="1:9" x14ac:dyDescent="0.3">
      <c r="A115" s="1">
        <v>43770</v>
      </c>
      <c r="B115">
        <v>197.93</v>
      </c>
      <c r="C115">
        <v>206.05</v>
      </c>
      <c r="D115">
        <v>197.63</v>
      </c>
      <c r="E115">
        <v>205.1</v>
      </c>
      <c r="F115">
        <v>197.23</v>
      </c>
      <c r="G115">
        <v>351429700</v>
      </c>
      <c r="H115" t="str">
        <f t="shared" si="5"/>
        <v>No</v>
      </c>
      <c r="I115" s="3">
        <f t="shared" si="4"/>
        <v>4.0681722245673235E-2</v>
      </c>
    </row>
    <row r="116" spans="1:9" x14ac:dyDescent="0.3">
      <c r="A116" s="1">
        <v>43800</v>
      </c>
      <c r="B116">
        <v>205.11</v>
      </c>
      <c r="C116">
        <v>214.56</v>
      </c>
      <c r="D116">
        <v>199.23</v>
      </c>
      <c r="E116">
        <v>212.61</v>
      </c>
      <c r="F116">
        <v>204.45</v>
      </c>
      <c r="G116">
        <v>429951100</v>
      </c>
      <c r="H116" t="str">
        <f t="shared" si="5"/>
        <v>No</v>
      </c>
      <c r="I116" s="3">
        <f t="shared" si="4"/>
        <v>3.6607007047609441E-2</v>
      </c>
    </row>
    <row r="117" spans="1:9" x14ac:dyDescent="0.3">
      <c r="A117" s="1">
        <v>43831</v>
      </c>
      <c r="B117">
        <v>214.4</v>
      </c>
      <c r="C117">
        <v>225.88</v>
      </c>
      <c r="D117">
        <v>212.24</v>
      </c>
      <c r="E117">
        <v>219.07</v>
      </c>
      <c r="F117">
        <v>211.12</v>
      </c>
      <c r="G117">
        <v>585493000</v>
      </c>
      <c r="H117" t="str">
        <f t="shared" si="5"/>
        <v>No</v>
      </c>
      <c r="I117" s="3">
        <f t="shared" si="4"/>
        <v>3.2624113475177463E-2</v>
      </c>
    </row>
    <row r="118" spans="1:9" x14ac:dyDescent="0.3">
      <c r="A118" s="1">
        <v>43862</v>
      </c>
      <c r="B118">
        <v>220.14</v>
      </c>
      <c r="C118">
        <v>237.47</v>
      </c>
      <c r="D118">
        <v>198.17</v>
      </c>
      <c r="E118">
        <v>205.8</v>
      </c>
      <c r="F118">
        <v>198.33</v>
      </c>
      <c r="G118">
        <v>952392300</v>
      </c>
      <c r="H118" t="str">
        <f t="shared" si="5"/>
        <v>No</v>
      </c>
      <c r="I118" s="3">
        <f t="shared" si="4"/>
        <v>-6.058165971959073E-2</v>
      </c>
    </row>
    <row r="119" spans="1:9" x14ac:dyDescent="0.3">
      <c r="A119" s="1">
        <v>43891</v>
      </c>
      <c r="B119">
        <v>208.88</v>
      </c>
      <c r="C119">
        <v>219.61</v>
      </c>
      <c r="D119">
        <v>164.93</v>
      </c>
      <c r="E119">
        <v>190.4</v>
      </c>
      <c r="F119">
        <v>183.49</v>
      </c>
      <c r="G119">
        <v>2191775700</v>
      </c>
      <c r="H119" t="str">
        <f t="shared" si="5"/>
        <v>No</v>
      </c>
      <c r="I119" s="3">
        <f t="shared" si="4"/>
        <v>-7.4824786971209645E-2</v>
      </c>
    </row>
    <row r="120" spans="1:9" x14ac:dyDescent="0.3">
      <c r="A120" s="1">
        <v>43922</v>
      </c>
      <c r="B120">
        <v>184.77</v>
      </c>
      <c r="C120">
        <v>220.04</v>
      </c>
      <c r="D120">
        <v>180.86</v>
      </c>
      <c r="E120">
        <v>218.91</v>
      </c>
      <c r="F120">
        <v>211.42</v>
      </c>
      <c r="G120">
        <v>1092071200</v>
      </c>
      <c r="H120" t="str">
        <f t="shared" si="5"/>
        <v>No</v>
      </c>
      <c r="I120" s="3">
        <f t="shared" si="4"/>
        <v>0.15221537958471831</v>
      </c>
    </row>
    <row r="121" spans="1:9" x14ac:dyDescent="0.3">
      <c r="A121" s="1">
        <v>43952</v>
      </c>
      <c r="B121">
        <v>214.5</v>
      </c>
      <c r="C121">
        <v>233.6</v>
      </c>
      <c r="D121">
        <v>211.12</v>
      </c>
      <c r="E121">
        <v>233.36</v>
      </c>
      <c r="F121">
        <v>225.37</v>
      </c>
      <c r="G121">
        <v>846592000</v>
      </c>
      <c r="H121" t="str">
        <f t="shared" si="5"/>
        <v>No</v>
      </c>
      <c r="I121" s="3">
        <f t="shared" si="4"/>
        <v>6.5982404692082275E-2</v>
      </c>
    </row>
    <row r="122" spans="1:9" x14ac:dyDescent="0.3">
      <c r="A122" s="1">
        <v>43983</v>
      </c>
      <c r="B122">
        <v>232.46</v>
      </c>
      <c r="C122">
        <v>251.15</v>
      </c>
      <c r="D122">
        <v>231.47</v>
      </c>
      <c r="E122">
        <v>247.6</v>
      </c>
      <c r="F122">
        <v>239.13</v>
      </c>
      <c r="G122">
        <v>928360400</v>
      </c>
      <c r="H122" t="str">
        <f t="shared" si="5"/>
        <v>No</v>
      </c>
      <c r="I122" s="3">
        <f t="shared" si="4"/>
        <v>6.1055153747171298E-2</v>
      </c>
    </row>
    <row r="123" spans="1:9" x14ac:dyDescent="0.3">
      <c r="A123" s="1">
        <v>44013</v>
      </c>
      <c r="B123">
        <v>247.64</v>
      </c>
      <c r="C123">
        <v>269.79000000000002</v>
      </c>
      <c r="D123">
        <v>247.08</v>
      </c>
      <c r="E123">
        <v>265.79000000000002</v>
      </c>
      <c r="F123">
        <v>257.14</v>
      </c>
      <c r="G123">
        <v>924935100</v>
      </c>
      <c r="H123" t="str">
        <f t="shared" si="5"/>
        <v>No</v>
      </c>
      <c r="I123" s="3">
        <f t="shared" si="4"/>
        <v>7.5314682390331678E-2</v>
      </c>
    </row>
    <row r="124" spans="1:9" x14ac:dyDescent="0.3">
      <c r="A124" s="1">
        <v>44044</v>
      </c>
      <c r="B124">
        <v>268</v>
      </c>
      <c r="C124">
        <v>296.75</v>
      </c>
      <c r="D124">
        <v>264.63</v>
      </c>
      <c r="E124">
        <v>294.88</v>
      </c>
      <c r="F124">
        <v>285.27999999999997</v>
      </c>
      <c r="G124">
        <v>701414600</v>
      </c>
      <c r="H124" t="str">
        <f t="shared" si="5"/>
        <v>No</v>
      </c>
      <c r="I124" s="3">
        <f t="shared" si="4"/>
        <v>0.10943454927276974</v>
      </c>
    </row>
    <row r="125" spans="1:9" x14ac:dyDescent="0.3">
      <c r="A125" s="1">
        <v>44075</v>
      </c>
      <c r="B125">
        <v>297.62</v>
      </c>
      <c r="C125">
        <v>303.5</v>
      </c>
      <c r="D125">
        <v>260.11</v>
      </c>
      <c r="E125">
        <v>277.83999999999997</v>
      </c>
      <c r="F125">
        <v>268.8</v>
      </c>
      <c r="G125">
        <v>1325374300</v>
      </c>
      <c r="H125" t="str">
        <f t="shared" si="5"/>
        <v>No</v>
      </c>
      <c r="I125" s="3">
        <f t="shared" si="4"/>
        <v>-5.7767807066741339E-2</v>
      </c>
    </row>
    <row r="126" spans="1:9" x14ac:dyDescent="0.3">
      <c r="A126" s="1">
        <v>44105</v>
      </c>
      <c r="B126">
        <v>281.79000000000002</v>
      </c>
      <c r="C126">
        <v>297.45999999999998</v>
      </c>
      <c r="D126">
        <v>267.07</v>
      </c>
      <c r="E126">
        <v>269.38</v>
      </c>
      <c r="F126">
        <v>260.61</v>
      </c>
      <c r="G126">
        <v>936826500</v>
      </c>
      <c r="H126" t="str">
        <f t="shared" si="5"/>
        <v>No</v>
      </c>
      <c r="I126" s="3">
        <f t="shared" si="4"/>
        <v>-3.0468750000000044E-2</v>
      </c>
    </row>
    <row r="127" spans="1:9" x14ac:dyDescent="0.3">
      <c r="A127" s="1">
        <v>44136</v>
      </c>
      <c r="B127">
        <v>271.85000000000002</v>
      </c>
      <c r="C127">
        <v>300.17</v>
      </c>
      <c r="D127">
        <v>266.97000000000003</v>
      </c>
      <c r="E127">
        <v>299.62</v>
      </c>
      <c r="F127">
        <v>289.87</v>
      </c>
      <c r="G127">
        <v>751645800</v>
      </c>
      <c r="H127" t="str">
        <f t="shared" si="5"/>
        <v>No</v>
      </c>
      <c r="I127" s="3">
        <f t="shared" si="4"/>
        <v>0.11227504700510327</v>
      </c>
    </row>
    <row r="128" spans="1:9" x14ac:dyDescent="0.3">
      <c r="A128" s="1">
        <v>44166</v>
      </c>
      <c r="B128">
        <v>301.97000000000003</v>
      </c>
      <c r="C128">
        <v>314.69</v>
      </c>
      <c r="D128">
        <v>298.08999999999997</v>
      </c>
      <c r="E128">
        <v>313.74</v>
      </c>
      <c r="F128">
        <v>303.52999999999997</v>
      </c>
      <c r="G128">
        <v>569870600</v>
      </c>
      <c r="H128" t="str">
        <f t="shared" si="5"/>
        <v>No</v>
      </c>
      <c r="I128" s="3">
        <f t="shared" si="4"/>
        <v>4.7124573084486032E-2</v>
      </c>
    </row>
    <row r="129" spans="1:9" x14ac:dyDescent="0.3">
      <c r="A129" s="1">
        <v>44197</v>
      </c>
      <c r="B129">
        <v>315.11</v>
      </c>
      <c r="C129">
        <v>330.32</v>
      </c>
      <c r="D129">
        <v>305.18</v>
      </c>
      <c r="E129">
        <v>314.56</v>
      </c>
      <c r="F129">
        <v>304.87</v>
      </c>
      <c r="G129">
        <v>655263000</v>
      </c>
      <c r="H129" t="str">
        <f t="shared" si="5"/>
        <v>No</v>
      </c>
      <c r="I129" s="3">
        <f t="shared" si="4"/>
        <v>4.4147201265114511E-3</v>
      </c>
    </row>
    <row r="130" spans="1:9" x14ac:dyDescent="0.3">
      <c r="A130" s="1">
        <v>44228</v>
      </c>
      <c r="B130">
        <v>318.11</v>
      </c>
      <c r="C130">
        <v>338.19</v>
      </c>
      <c r="D130">
        <v>310.88</v>
      </c>
      <c r="E130">
        <v>314.14</v>
      </c>
      <c r="F130">
        <v>304.47000000000003</v>
      </c>
      <c r="G130">
        <v>795468600</v>
      </c>
      <c r="H130" t="str">
        <f t="shared" ref="H130:H161" si="6">IF(ISNUMBER(SEARCH("Dividend",B130)),"Yes","No")</f>
        <v>No</v>
      </c>
      <c r="I130" s="3">
        <f t="shared" si="4"/>
        <v>-1.3120346377143433E-3</v>
      </c>
    </row>
    <row r="131" spans="1:9" x14ac:dyDescent="0.3">
      <c r="A131" s="1">
        <v>44256</v>
      </c>
      <c r="B131">
        <v>319.27</v>
      </c>
      <c r="C131">
        <v>324.33</v>
      </c>
      <c r="D131">
        <v>297.45</v>
      </c>
      <c r="E131">
        <v>319.13</v>
      </c>
      <c r="F131">
        <v>309.3</v>
      </c>
      <c r="G131">
        <v>1621173600</v>
      </c>
      <c r="H131" t="str">
        <f t="shared" si="6"/>
        <v>No</v>
      </c>
      <c r="I131" s="3">
        <f t="shared" si="4"/>
        <v>1.5863631884914797E-2</v>
      </c>
    </row>
    <row r="132" spans="1:9" x14ac:dyDescent="0.3">
      <c r="A132" s="1">
        <v>44287</v>
      </c>
      <c r="B132">
        <v>323.07</v>
      </c>
      <c r="C132">
        <v>342.8</v>
      </c>
      <c r="D132">
        <v>322.81</v>
      </c>
      <c r="E132">
        <v>337.99</v>
      </c>
      <c r="F132">
        <v>328</v>
      </c>
      <c r="G132">
        <v>771139800</v>
      </c>
      <c r="H132" t="str">
        <f t="shared" si="6"/>
        <v>No</v>
      </c>
      <c r="I132" s="3">
        <f t="shared" ref="I132:I195" si="7">(F132/F131)-1</f>
        <v>6.0459101196249643E-2</v>
      </c>
    </row>
    <row r="133" spans="1:9" x14ac:dyDescent="0.3">
      <c r="A133" s="1">
        <v>44317</v>
      </c>
      <c r="B133">
        <v>339.23</v>
      </c>
      <c r="C133">
        <v>340</v>
      </c>
      <c r="D133">
        <v>316</v>
      </c>
      <c r="E133">
        <v>333.93</v>
      </c>
      <c r="F133">
        <v>324.06</v>
      </c>
      <c r="G133">
        <v>965410800</v>
      </c>
      <c r="H133" t="str">
        <f t="shared" si="6"/>
        <v>No</v>
      </c>
      <c r="I133" s="3">
        <f t="shared" si="7"/>
        <v>-1.2012195121951175E-2</v>
      </c>
    </row>
    <row r="134" spans="1:9" x14ac:dyDescent="0.3">
      <c r="A134" s="1">
        <v>44348</v>
      </c>
      <c r="B134">
        <v>335.3</v>
      </c>
      <c r="C134">
        <v>355.23</v>
      </c>
      <c r="D134">
        <v>328.28</v>
      </c>
      <c r="E134">
        <v>354.43</v>
      </c>
      <c r="F134">
        <v>343.95</v>
      </c>
      <c r="G134">
        <v>751288500</v>
      </c>
      <c r="H134" t="str">
        <f t="shared" si="6"/>
        <v>No</v>
      </c>
      <c r="I134" s="3">
        <f t="shared" si="7"/>
        <v>6.1377522680984953E-2</v>
      </c>
    </row>
    <row r="135" spans="1:9" x14ac:dyDescent="0.3">
      <c r="A135" s="1">
        <v>44378</v>
      </c>
      <c r="B135">
        <v>354.07</v>
      </c>
      <c r="C135">
        <v>368.89</v>
      </c>
      <c r="D135">
        <v>352.04</v>
      </c>
      <c r="E135">
        <v>364.57</v>
      </c>
      <c r="F135">
        <v>354.2</v>
      </c>
      <c r="G135">
        <v>813285700</v>
      </c>
      <c r="H135" t="str">
        <f t="shared" si="6"/>
        <v>No</v>
      </c>
      <c r="I135" s="3">
        <f t="shared" si="7"/>
        <v>2.9800843145806111E-2</v>
      </c>
    </row>
    <row r="136" spans="1:9" x14ac:dyDescent="0.3">
      <c r="A136" s="1">
        <v>44409</v>
      </c>
      <c r="B136">
        <v>366.28</v>
      </c>
      <c r="C136">
        <v>380.76</v>
      </c>
      <c r="D136">
        <v>359.96</v>
      </c>
      <c r="E136">
        <v>379.95</v>
      </c>
      <c r="F136">
        <v>369.14</v>
      </c>
      <c r="G136">
        <v>683466500</v>
      </c>
      <c r="H136" t="str">
        <f t="shared" si="6"/>
        <v>No</v>
      </c>
      <c r="I136" s="3">
        <f t="shared" si="7"/>
        <v>4.2179559570863834E-2</v>
      </c>
    </row>
    <row r="137" spans="1:9" x14ac:dyDescent="0.3">
      <c r="A137" s="1">
        <v>44440</v>
      </c>
      <c r="B137">
        <v>381.04</v>
      </c>
      <c r="C137">
        <v>382.78</v>
      </c>
      <c r="D137">
        <v>357.1</v>
      </c>
      <c r="E137">
        <v>357.96</v>
      </c>
      <c r="F137">
        <v>347.78</v>
      </c>
      <c r="G137">
        <v>931849900</v>
      </c>
      <c r="H137" t="str">
        <f t="shared" si="6"/>
        <v>No</v>
      </c>
      <c r="I137" s="3">
        <f t="shared" si="7"/>
        <v>-5.7864224955301524E-2</v>
      </c>
    </row>
    <row r="138" spans="1:9" x14ac:dyDescent="0.3">
      <c r="A138" s="1">
        <v>44470</v>
      </c>
      <c r="B138">
        <v>358.6</v>
      </c>
      <c r="C138">
        <v>386.28</v>
      </c>
      <c r="D138">
        <v>350.32</v>
      </c>
      <c r="E138">
        <v>386.11</v>
      </c>
      <c r="F138">
        <v>375.54</v>
      </c>
      <c r="G138">
        <v>878747900</v>
      </c>
      <c r="H138" t="str">
        <f t="shared" si="6"/>
        <v>No</v>
      </c>
      <c r="I138" s="3">
        <f t="shared" si="7"/>
        <v>7.9820576226350193E-2</v>
      </c>
    </row>
    <row r="139" spans="1:9" x14ac:dyDescent="0.3">
      <c r="A139" s="1">
        <v>44501</v>
      </c>
      <c r="B139">
        <v>386.56</v>
      </c>
      <c r="C139">
        <v>408.71</v>
      </c>
      <c r="D139">
        <v>384.42</v>
      </c>
      <c r="E139">
        <v>393.82</v>
      </c>
      <c r="F139">
        <v>383.04</v>
      </c>
      <c r="G139">
        <v>922244500</v>
      </c>
      <c r="H139" t="str">
        <f t="shared" si="6"/>
        <v>No</v>
      </c>
      <c r="I139" s="3">
        <f t="shared" si="7"/>
        <v>1.9971241412366281E-2</v>
      </c>
    </row>
    <row r="140" spans="1:9" x14ac:dyDescent="0.3">
      <c r="A140" s="1">
        <v>44531</v>
      </c>
      <c r="B140">
        <v>398.28</v>
      </c>
      <c r="C140">
        <v>404.58</v>
      </c>
      <c r="D140">
        <v>377.47</v>
      </c>
      <c r="E140">
        <v>397.85</v>
      </c>
      <c r="F140">
        <v>386.96</v>
      </c>
      <c r="G140">
        <v>1232817200</v>
      </c>
      <c r="H140" t="str">
        <f t="shared" si="6"/>
        <v>No</v>
      </c>
      <c r="I140" s="3">
        <f t="shared" si="7"/>
        <v>1.0233918128654818E-2</v>
      </c>
    </row>
    <row r="141" spans="1:9" x14ac:dyDescent="0.3">
      <c r="A141" s="1">
        <v>44562</v>
      </c>
      <c r="B141">
        <v>399.05</v>
      </c>
      <c r="C141">
        <v>402.28</v>
      </c>
      <c r="D141">
        <v>334.15</v>
      </c>
      <c r="E141">
        <v>363.05</v>
      </c>
      <c r="F141">
        <v>353.57</v>
      </c>
      <c r="G141">
        <v>1847203000</v>
      </c>
      <c r="H141" t="str">
        <f t="shared" si="6"/>
        <v>No</v>
      </c>
      <c r="I141" s="3">
        <f t="shared" si="7"/>
        <v>-8.6287988422575901E-2</v>
      </c>
    </row>
    <row r="142" spans="1:9" x14ac:dyDescent="0.3">
      <c r="A142" s="1">
        <v>44593</v>
      </c>
      <c r="B142">
        <v>364.43</v>
      </c>
      <c r="C142">
        <v>370.1</v>
      </c>
      <c r="D142">
        <v>318.26</v>
      </c>
      <c r="E142">
        <v>346.8</v>
      </c>
      <c r="F142">
        <v>337.74</v>
      </c>
      <c r="G142">
        <v>1522923600</v>
      </c>
      <c r="H142" t="str">
        <f t="shared" si="6"/>
        <v>No</v>
      </c>
      <c r="I142" s="3">
        <f t="shared" si="7"/>
        <v>-4.4771898068274973E-2</v>
      </c>
    </row>
    <row r="143" spans="1:9" x14ac:dyDescent="0.3">
      <c r="A143" s="1">
        <v>44621</v>
      </c>
      <c r="B143">
        <v>345.75</v>
      </c>
      <c r="C143">
        <v>371.83</v>
      </c>
      <c r="D143">
        <v>317.45</v>
      </c>
      <c r="E143">
        <v>362.54</v>
      </c>
      <c r="F143">
        <v>353.07</v>
      </c>
      <c r="G143">
        <v>1686792800</v>
      </c>
      <c r="H143" t="str">
        <f t="shared" si="6"/>
        <v>No</v>
      </c>
      <c r="I143" s="3">
        <f t="shared" si="7"/>
        <v>4.538994492805104E-2</v>
      </c>
    </row>
    <row r="144" spans="1:9" x14ac:dyDescent="0.3">
      <c r="A144" s="1">
        <v>44652</v>
      </c>
      <c r="B144">
        <v>362.81</v>
      </c>
      <c r="C144">
        <v>369.31</v>
      </c>
      <c r="D144">
        <v>312.60000000000002</v>
      </c>
      <c r="E144">
        <v>313.25</v>
      </c>
      <c r="F144">
        <v>305.44</v>
      </c>
      <c r="G144">
        <v>1501959100</v>
      </c>
      <c r="H144" t="str">
        <f t="shared" si="6"/>
        <v>No</v>
      </c>
      <c r="I144" s="3">
        <f t="shared" si="7"/>
        <v>-0.13490242728070923</v>
      </c>
    </row>
    <row r="145" spans="1:9" x14ac:dyDescent="0.3">
      <c r="A145" s="1">
        <v>44682</v>
      </c>
      <c r="B145">
        <v>312.83</v>
      </c>
      <c r="C145">
        <v>330.29</v>
      </c>
      <c r="D145">
        <v>280.20999999999998</v>
      </c>
      <c r="E145">
        <v>308.27999999999997</v>
      </c>
      <c r="F145">
        <v>300.60000000000002</v>
      </c>
      <c r="G145">
        <v>1951162500</v>
      </c>
      <c r="H145" t="str">
        <f t="shared" si="6"/>
        <v>No</v>
      </c>
      <c r="I145" s="3">
        <f t="shared" si="7"/>
        <v>-1.5845992666317366E-2</v>
      </c>
    </row>
    <row r="146" spans="1:9" x14ac:dyDescent="0.3">
      <c r="A146" s="1">
        <v>44713</v>
      </c>
      <c r="B146">
        <v>310.47000000000003</v>
      </c>
      <c r="C146">
        <v>314.56</v>
      </c>
      <c r="D146">
        <v>269.27999999999997</v>
      </c>
      <c r="E146">
        <v>280.27999999999997</v>
      </c>
      <c r="F146">
        <v>273.3</v>
      </c>
      <c r="G146">
        <v>1359608000</v>
      </c>
      <c r="H146" t="str">
        <f t="shared" si="6"/>
        <v>No</v>
      </c>
      <c r="I146" s="3">
        <f t="shared" si="7"/>
        <v>-9.0818363273453162E-2</v>
      </c>
    </row>
    <row r="147" spans="1:9" x14ac:dyDescent="0.3">
      <c r="A147" s="1">
        <v>44743</v>
      </c>
      <c r="B147">
        <v>278.95</v>
      </c>
      <c r="C147">
        <v>316.39</v>
      </c>
      <c r="D147">
        <v>276.75</v>
      </c>
      <c r="E147">
        <v>315.45999999999998</v>
      </c>
      <c r="F147">
        <v>308.19</v>
      </c>
      <c r="G147">
        <v>1178025500</v>
      </c>
      <c r="H147" t="str">
        <f t="shared" si="6"/>
        <v>No</v>
      </c>
      <c r="I147" s="3">
        <f t="shared" si="7"/>
        <v>0.12766190998902305</v>
      </c>
    </row>
    <row r="148" spans="1:9" x14ac:dyDescent="0.3">
      <c r="A148" s="1">
        <v>44774</v>
      </c>
      <c r="B148">
        <v>313.64999999999998</v>
      </c>
      <c r="C148">
        <v>334.42</v>
      </c>
      <c r="D148">
        <v>298.44</v>
      </c>
      <c r="E148">
        <v>299.27</v>
      </c>
      <c r="F148">
        <v>292.37</v>
      </c>
      <c r="G148">
        <v>1069920100</v>
      </c>
      <c r="H148" t="str">
        <f t="shared" si="6"/>
        <v>No</v>
      </c>
      <c r="I148" s="3">
        <f t="shared" si="7"/>
        <v>-5.1331970537655369E-2</v>
      </c>
    </row>
    <row r="149" spans="1:9" x14ac:dyDescent="0.3">
      <c r="A149" s="1">
        <v>44805</v>
      </c>
      <c r="B149">
        <v>296.72000000000003</v>
      </c>
      <c r="C149">
        <v>311.08</v>
      </c>
      <c r="D149">
        <v>267.10000000000002</v>
      </c>
      <c r="E149">
        <v>267.26</v>
      </c>
      <c r="F149">
        <v>261.10000000000002</v>
      </c>
      <c r="G149">
        <v>1370988700</v>
      </c>
      <c r="H149" t="str">
        <f t="shared" si="6"/>
        <v>No</v>
      </c>
      <c r="I149" s="3">
        <f t="shared" si="7"/>
        <v>-0.10695351780278406</v>
      </c>
    </row>
    <row r="150" spans="1:9" x14ac:dyDescent="0.3">
      <c r="A150" s="1">
        <v>44835</v>
      </c>
      <c r="B150">
        <v>269.07</v>
      </c>
      <c r="C150">
        <v>284.60000000000002</v>
      </c>
      <c r="D150">
        <v>254.26</v>
      </c>
      <c r="E150">
        <v>277.95</v>
      </c>
      <c r="F150">
        <v>272.02999999999997</v>
      </c>
      <c r="G150">
        <v>1356809000</v>
      </c>
      <c r="H150" t="str">
        <f t="shared" si="6"/>
        <v>No</v>
      </c>
      <c r="I150" s="3">
        <f t="shared" si="7"/>
        <v>4.1861355802374378E-2</v>
      </c>
    </row>
    <row r="151" spans="1:9" x14ac:dyDescent="0.3">
      <c r="A151" s="1">
        <v>44866</v>
      </c>
      <c r="B151">
        <v>281.5</v>
      </c>
      <c r="C151">
        <v>293.47000000000003</v>
      </c>
      <c r="D151">
        <v>259.08</v>
      </c>
      <c r="E151">
        <v>293.36</v>
      </c>
      <c r="F151">
        <v>287.11</v>
      </c>
      <c r="G151">
        <v>1195762800</v>
      </c>
      <c r="H151" t="str">
        <f t="shared" si="6"/>
        <v>No</v>
      </c>
      <c r="I151" s="3">
        <f t="shared" si="7"/>
        <v>5.5435062309304284E-2</v>
      </c>
    </row>
    <row r="152" spans="1:9" x14ac:dyDescent="0.3">
      <c r="A152" s="1">
        <v>44896</v>
      </c>
      <c r="B152">
        <v>293.69</v>
      </c>
      <c r="C152">
        <v>296.88</v>
      </c>
      <c r="D152">
        <v>259.73</v>
      </c>
      <c r="E152">
        <v>266.27999999999997</v>
      </c>
      <c r="F152">
        <v>260.61</v>
      </c>
      <c r="G152">
        <v>1057037700</v>
      </c>
      <c r="H152" t="str">
        <f t="shared" si="6"/>
        <v>No</v>
      </c>
      <c r="I152" s="3">
        <f t="shared" si="7"/>
        <v>-9.2299118804639368E-2</v>
      </c>
    </row>
    <row r="153" spans="1:9" x14ac:dyDescent="0.3">
      <c r="A153" s="1">
        <v>44927</v>
      </c>
      <c r="B153">
        <v>268.64999999999998</v>
      </c>
      <c r="C153">
        <v>298.26</v>
      </c>
      <c r="D153">
        <v>260.33999999999997</v>
      </c>
      <c r="E153">
        <v>294.62</v>
      </c>
      <c r="F153">
        <v>289.04000000000002</v>
      </c>
      <c r="G153">
        <v>961927300</v>
      </c>
      <c r="H153" t="str">
        <f t="shared" si="6"/>
        <v>No</v>
      </c>
      <c r="I153" s="3">
        <f t="shared" si="7"/>
        <v>0.10909021142703668</v>
      </c>
    </row>
    <row r="154" spans="1:9" x14ac:dyDescent="0.3">
      <c r="A154" s="1">
        <v>44958</v>
      </c>
      <c r="B154">
        <v>294.41000000000003</v>
      </c>
      <c r="C154">
        <v>313.68</v>
      </c>
      <c r="D154">
        <v>290.05</v>
      </c>
      <c r="E154">
        <v>293.56</v>
      </c>
      <c r="F154">
        <v>288</v>
      </c>
      <c r="G154">
        <v>1094424800</v>
      </c>
      <c r="H154" t="str">
        <f t="shared" si="6"/>
        <v>No</v>
      </c>
      <c r="I154" s="3">
        <f t="shared" si="7"/>
        <v>-3.5981179075561531E-3</v>
      </c>
    </row>
    <row r="155" spans="1:9" x14ac:dyDescent="0.3">
      <c r="A155" s="1">
        <v>44986</v>
      </c>
      <c r="B155">
        <v>293.26</v>
      </c>
      <c r="C155">
        <v>321.17</v>
      </c>
      <c r="D155">
        <v>285.19</v>
      </c>
      <c r="E155">
        <v>320.93</v>
      </c>
      <c r="F155">
        <v>314.85000000000002</v>
      </c>
      <c r="G155">
        <v>1544782600</v>
      </c>
      <c r="H155" t="str">
        <f t="shared" si="6"/>
        <v>No</v>
      </c>
      <c r="I155" s="3">
        <f t="shared" si="7"/>
        <v>9.3229166666666696E-2</v>
      </c>
    </row>
    <row r="156" spans="1:9" x14ac:dyDescent="0.3">
      <c r="A156" s="1">
        <v>45017</v>
      </c>
      <c r="B156">
        <v>318.77</v>
      </c>
      <c r="C156">
        <v>322.64999999999998</v>
      </c>
      <c r="D156">
        <v>309.89</v>
      </c>
      <c r="E156">
        <v>322.56</v>
      </c>
      <c r="F156">
        <v>316.94</v>
      </c>
      <c r="G156">
        <v>993554700</v>
      </c>
      <c r="H156" t="str">
        <f t="shared" si="6"/>
        <v>No</v>
      </c>
      <c r="I156" s="3">
        <f t="shared" si="7"/>
        <v>6.6380816261710773E-3</v>
      </c>
    </row>
    <row r="157" spans="1:9" x14ac:dyDescent="0.3">
      <c r="A157" s="1">
        <v>45047</v>
      </c>
      <c r="B157">
        <v>322.08999999999997</v>
      </c>
      <c r="C157">
        <v>353.93</v>
      </c>
      <c r="D157">
        <v>315.12</v>
      </c>
      <c r="E157">
        <v>347.99</v>
      </c>
      <c r="F157">
        <v>341.92</v>
      </c>
      <c r="G157">
        <v>1149238500</v>
      </c>
      <c r="H157" t="str">
        <f t="shared" si="6"/>
        <v>No</v>
      </c>
      <c r="I157" s="3">
        <f t="shared" si="7"/>
        <v>7.8816179718558699E-2</v>
      </c>
    </row>
    <row r="158" spans="1:9" x14ac:dyDescent="0.3">
      <c r="A158" s="1">
        <v>45078</v>
      </c>
      <c r="B158">
        <v>347.73</v>
      </c>
      <c r="C158">
        <v>372.85</v>
      </c>
      <c r="D158">
        <v>346.66</v>
      </c>
      <c r="E158">
        <v>369.42</v>
      </c>
      <c r="F158">
        <v>362.98</v>
      </c>
      <c r="G158">
        <v>1137978700</v>
      </c>
      <c r="H158" t="str">
        <f t="shared" si="6"/>
        <v>No</v>
      </c>
      <c r="I158" s="3">
        <f t="shared" si="7"/>
        <v>6.1593355170800113E-2</v>
      </c>
    </row>
    <row r="159" spans="1:9" x14ac:dyDescent="0.3">
      <c r="A159" s="1">
        <v>45108</v>
      </c>
      <c r="B159">
        <v>370.07</v>
      </c>
      <c r="C159">
        <v>387.98</v>
      </c>
      <c r="D159">
        <v>363.41</v>
      </c>
      <c r="E159">
        <v>383.68</v>
      </c>
      <c r="F159">
        <v>377.51</v>
      </c>
      <c r="G159">
        <v>975077400</v>
      </c>
      <c r="H159" t="str">
        <f t="shared" si="6"/>
        <v>No</v>
      </c>
      <c r="I159" s="3">
        <f t="shared" si="7"/>
        <v>4.0029753705438154E-2</v>
      </c>
    </row>
    <row r="160" spans="1:9" x14ac:dyDescent="0.3">
      <c r="A160" s="1">
        <v>45139</v>
      </c>
      <c r="B160">
        <v>382.31</v>
      </c>
      <c r="C160">
        <v>383.56</v>
      </c>
      <c r="D160">
        <v>354.71</v>
      </c>
      <c r="E160">
        <v>377.99</v>
      </c>
      <c r="F160">
        <v>371.91</v>
      </c>
      <c r="G160">
        <v>1202289000</v>
      </c>
      <c r="H160" t="str">
        <f t="shared" si="6"/>
        <v>No</v>
      </c>
      <c r="I160" s="3">
        <f t="shared" si="7"/>
        <v>-1.4834044131281199E-2</v>
      </c>
    </row>
    <row r="161" spans="1:9" x14ac:dyDescent="0.3">
      <c r="A161" s="1">
        <v>45170</v>
      </c>
      <c r="B161">
        <v>380.4</v>
      </c>
      <c r="C161">
        <v>380.83</v>
      </c>
      <c r="D161">
        <v>351.36</v>
      </c>
      <c r="E161">
        <v>358.27</v>
      </c>
      <c r="F161">
        <v>352.51</v>
      </c>
      <c r="G161">
        <v>960022300</v>
      </c>
      <c r="H161" t="str">
        <f t="shared" si="6"/>
        <v>No</v>
      </c>
      <c r="I161" s="3">
        <f t="shared" si="7"/>
        <v>-5.2163157753220002E-2</v>
      </c>
    </row>
    <row r="162" spans="1:9" x14ac:dyDescent="0.3">
      <c r="A162" s="1">
        <v>45200</v>
      </c>
      <c r="B162">
        <v>358.54</v>
      </c>
      <c r="C162">
        <v>373.74</v>
      </c>
      <c r="D162">
        <v>342.35</v>
      </c>
      <c r="E162">
        <v>350.87</v>
      </c>
      <c r="F162">
        <v>345.73</v>
      </c>
      <c r="G162">
        <v>1238704200</v>
      </c>
      <c r="H162" t="str">
        <f t="shared" ref="H162:H195" si="8">IF(ISNUMBER(SEARCH("Dividend",B162)),"Yes","No")</f>
        <v>No</v>
      </c>
      <c r="I162" s="3">
        <f t="shared" si="7"/>
        <v>-1.9233496922073101E-2</v>
      </c>
    </row>
    <row r="163" spans="1:9" x14ac:dyDescent="0.3">
      <c r="A163" s="1">
        <v>45231</v>
      </c>
      <c r="B163">
        <v>351.72</v>
      </c>
      <c r="C163">
        <v>394.14</v>
      </c>
      <c r="D163">
        <v>351.62</v>
      </c>
      <c r="E163">
        <v>388.83</v>
      </c>
      <c r="F163">
        <v>383.13</v>
      </c>
      <c r="G163">
        <v>971360500</v>
      </c>
      <c r="H163" t="str">
        <f t="shared" si="8"/>
        <v>No</v>
      </c>
      <c r="I163" s="3">
        <f t="shared" si="7"/>
        <v>0.10817690104995226</v>
      </c>
    </row>
    <row r="164" spans="1:9" x14ac:dyDescent="0.3">
      <c r="A164" s="1">
        <v>45261</v>
      </c>
      <c r="B164">
        <v>387.75</v>
      </c>
      <c r="C164">
        <v>412.92</v>
      </c>
      <c r="D164">
        <v>382.66</v>
      </c>
      <c r="E164">
        <v>409.52</v>
      </c>
      <c r="F164">
        <v>403.52</v>
      </c>
      <c r="G164">
        <v>867698300</v>
      </c>
      <c r="H164" t="str">
        <f t="shared" si="8"/>
        <v>No</v>
      </c>
      <c r="I164" s="3">
        <f t="shared" si="7"/>
        <v>5.3219533839688804E-2</v>
      </c>
    </row>
    <row r="165" spans="1:9" x14ac:dyDescent="0.3">
      <c r="A165" s="1">
        <v>45292</v>
      </c>
      <c r="B165">
        <v>405.84</v>
      </c>
      <c r="C165">
        <v>429.85</v>
      </c>
      <c r="D165">
        <v>395.34</v>
      </c>
      <c r="E165">
        <v>416.97</v>
      </c>
      <c r="F165">
        <v>411.9</v>
      </c>
      <c r="G165">
        <v>973043500</v>
      </c>
      <c r="H165" t="str">
        <f t="shared" si="8"/>
        <v>No</v>
      </c>
      <c r="I165" s="3">
        <f t="shared" si="7"/>
        <v>2.076724821570175E-2</v>
      </c>
    </row>
    <row r="166" spans="1:9" x14ac:dyDescent="0.3">
      <c r="A166" s="1">
        <v>45323</v>
      </c>
      <c r="B166">
        <v>418.79</v>
      </c>
      <c r="C166">
        <v>440.59</v>
      </c>
      <c r="D166">
        <v>417.81</v>
      </c>
      <c r="E166">
        <v>439</v>
      </c>
      <c r="F166">
        <v>433.66</v>
      </c>
      <c r="G166">
        <v>865903700</v>
      </c>
      <c r="H166" t="str">
        <f t="shared" si="8"/>
        <v>No</v>
      </c>
      <c r="I166" s="3">
        <f t="shared" si="7"/>
        <v>5.2828356397183862E-2</v>
      </c>
    </row>
    <row r="167" spans="1:9" x14ac:dyDescent="0.3">
      <c r="A167" s="1">
        <v>45352</v>
      </c>
      <c r="B167">
        <v>439.9</v>
      </c>
      <c r="C167">
        <v>449.34</v>
      </c>
      <c r="D167">
        <v>432.74</v>
      </c>
      <c r="E167">
        <v>444.01</v>
      </c>
      <c r="F167">
        <v>438.61</v>
      </c>
      <c r="G167">
        <v>905018600</v>
      </c>
      <c r="H167" t="str">
        <f t="shared" si="8"/>
        <v>No</v>
      </c>
      <c r="I167" s="3">
        <f t="shared" si="7"/>
        <v>1.1414472167135425E-2</v>
      </c>
    </row>
    <row r="168" spans="1:9" x14ac:dyDescent="0.3">
      <c r="A168" s="1">
        <v>45383</v>
      </c>
      <c r="B168">
        <v>444.97</v>
      </c>
      <c r="C168">
        <v>447.53</v>
      </c>
      <c r="D168">
        <v>413.07</v>
      </c>
      <c r="E168">
        <v>424.59</v>
      </c>
      <c r="F168">
        <v>419.98</v>
      </c>
      <c r="G168">
        <v>1066502500</v>
      </c>
      <c r="H168" t="str">
        <f t="shared" si="8"/>
        <v>No</v>
      </c>
      <c r="I168" s="3">
        <f t="shared" si="7"/>
        <v>-4.2475091767173567E-2</v>
      </c>
    </row>
    <row r="169" spans="1:9" x14ac:dyDescent="0.3">
      <c r="A169" s="1">
        <v>45413</v>
      </c>
      <c r="B169">
        <v>423.15</v>
      </c>
      <c r="C169">
        <v>460.58</v>
      </c>
      <c r="D169">
        <v>420.63</v>
      </c>
      <c r="E169">
        <v>450.71</v>
      </c>
      <c r="F169">
        <v>445.81</v>
      </c>
      <c r="G169">
        <v>730428700</v>
      </c>
      <c r="H169" t="str">
        <f t="shared" si="8"/>
        <v>No</v>
      </c>
      <c r="I169" s="3">
        <f t="shared" si="7"/>
        <v>6.1502928710891025E-2</v>
      </c>
    </row>
    <row r="170" spans="1:9" x14ac:dyDescent="0.3">
      <c r="A170" s="1">
        <v>45444</v>
      </c>
      <c r="B170">
        <v>454.57</v>
      </c>
      <c r="C170">
        <v>487.2</v>
      </c>
      <c r="D170">
        <v>447.9</v>
      </c>
      <c r="E170">
        <v>479.11</v>
      </c>
      <c r="F170">
        <v>473.91</v>
      </c>
      <c r="G170">
        <v>548332200</v>
      </c>
      <c r="H170" t="str">
        <f t="shared" si="8"/>
        <v>No</v>
      </c>
      <c r="I170" s="3">
        <f t="shared" si="7"/>
        <v>6.3031336219465661E-2</v>
      </c>
    </row>
    <row r="171" spans="1:9" x14ac:dyDescent="0.3">
      <c r="A171" s="1">
        <v>45474</v>
      </c>
      <c r="B171">
        <v>480.04</v>
      </c>
      <c r="C171">
        <v>503.52</v>
      </c>
      <c r="D171">
        <v>454.15</v>
      </c>
      <c r="E171">
        <v>471.07</v>
      </c>
      <c r="F171">
        <v>466.69</v>
      </c>
      <c r="G171">
        <v>801528400</v>
      </c>
      <c r="H171" t="str">
        <f t="shared" si="8"/>
        <v>No</v>
      </c>
      <c r="I171" s="3">
        <f t="shared" si="7"/>
        <v>-1.5234960224515315E-2</v>
      </c>
    </row>
    <row r="172" spans="1:9" x14ac:dyDescent="0.3">
      <c r="A172" s="1">
        <v>45505</v>
      </c>
      <c r="B172">
        <v>471.76</v>
      </c>
      <c r="C172">
        <v>485.54</v>
      </c>
      <c r="D172">
        <v>423.45</v>
      </c>
      <c r="E172">
        <v>476.27</v>
      </c>
      <c r="F172">
        <v>471.85</v>
      </c>
      <c r="G172">
        <v>908585600</v>
      </c>
      <c r="H172" t="str">
        <f t="shared" si="8"/>
        <v>No</v>
      </c>
      <c r="I172" s="3">
        <f t="shared" si="7"/>
        <v>1.1056590027641588E-2</v>
      </c>
    </row>
    <row r="173" spans="1:9" x14ac:dyDescent="0.3">
      <c r="A173" s="1">
        <v>45536</v>
      </c>
      <c r="B173">
        <v>470.66</v>
      </c>
      <c r="C173">
        <v>493.7</v>
      </c>
      <c r="D173">
        <v>448.19</v>
      </c>
      <c r="E173">
        <v>488.07</v>
      </c>
      <c r="F173">
        <v>483.54</v>
      </c>
      <c r="G173">
        <v>694688500</v>
      </c>
      <c r="H173" t="str">
        <f t="shared" si="8"/>
        <v>No</v>
      </c>
      <c r="I173" s="3">
        <f t="shared" si="7"/>
        <v>2.4774822507152683E-2</v>
      </c>
    </row>
    <row r="174" spans="1:9" x14ac:dyDescent="0.3">
      <c r="A174" s="1">
        <v>45566</v>
      </c>
      <c r="B174">
        <v>487.7</v>
      </c>
      <c r="C174">
        <v>501.35</v>
      </c>
      <c r="D174">
        <v>477.4</v>
      </c>
      <c r="E174">
        <v>483.85</v>
      </c>
      <c r="F174">
        <v>480.03</v>
      </c>
      <c r="G174">
        <v>660176300</v>
      </c>
      <c r="H174" t="str">
        <f t="shared" si="8"/>
        <v>No</v>
      </c>
      <c r="I174" s="3">
        <f t="shared" si="7"/>
        <v>-7.2589651321505189E-3</v>
      </c>
    </row>
    <row r="175" spans="1:9" x14ac:dyDescent="0.3">
      <c r="A175" s="1">
        <v>45597</v>
      </c>
      <c r="B175">
        <v>485.5</v>
      </c>
      <c r="C175">
        <v>515.58000000000004</v>
      </c>
      <c r="D175">
        <v>484.25</v>
      </c>
      <c r="E175">
        <v>509.74</v>
      </c>
      <c r="F175">
        <v>505.71</v>
      </c>
      <c r="G175">
        <v>567617900</v>
      </c>
      <c r="H175" t="str">
        <f t="shared" si="8"/>
        <v>No</v>
      </c>
      <c r="I175" s="3">
        <f t="shared" si="7"/>
        <v>5.3496656458971392E-2</v>
      </c>
    </row>
    <row r="176" spans="1:9" x14ac:dyDescent="0.3">
      <c r="A176" s="1">
        <v>45627</v>
      </c>
      <c r="B176">
        <v>511.01</v>
      </c>
      <c r="C176">
        <v>539.15</v>
      </c>
      <c r="D176">
        <v>509.29</v>
      </c>
      <c r="E176">
        <v>511.23</v>
      </c>
      <c r="F176">
        <v>507.19</v>
      </c>
      <c r="G176">
        <v>627410500</v>
      </c>
      <c r="H176" t="str">
        <f t="shared" si="8"/>
        <v>No</v>
      </c>
      <c r="I176" s="3">
        <f t="shared" si="7"/>
        <v>2.9265784738288225E-3</v>
      </c>
    </row>
    <row r="177" spans="1:9" x14ac:dyDescent="0.3">
      <c r="A177" s="1">
        <v>45658</v>
      </c>
      <c r="B177">
        <v>514.29999999999995</v>
      </c>
      <c r="C177">
        <v>533.82000000000005</v>
      </c>
      <c r="D177">
        <v>499.7</v>
      </c>
      <c r="E177">
        <v>522.29</v>
      </c>
      <c r="F177">
        <v>519</v>
      </c>
      <c r="G177">
        <v>677012800</v>
      </c>
      <c r="H177" t="str">
        <f t="shared" si="8"/>
        <v>No</v>
      </c>
      <c r="I177" s="3">
        <f t="shared" si="7"/>
        <v>2.3285159407717027E-2</v>
      </c>
    </row>
    <row r="178" spans="1:9" x14ac:dyDescent="0.3">
      <c r="A178" s="1">
        <v>45689</v>
      </c>
      <c r="B178">
        <v>513.47</v>
      </c>
      <c r="C178">
        <v>540.80999999999995</v>
      </c>
      <c r="D178">
        <v>496.93</v>
      </c>
      <c r="E178">
        <v>508.17</v>
      </c>
      <c r="F178">
        <v>504.97</v>
      </c>
      <c r="G178">
        <v>585211300</v>
      </c>
      <c r="H178" t="str">
        <f t="shared" si="8"/>
        <v>No</v>
      </c>
      <c r="I178" s="3">
        <f t="shared" si="7"/>
        <v>-2.7032755298651234E-2</v>
      </c>
    </row>
    <row r="179" spans="1:9" x14ac:dyDescent="0.3">
      <c r="A179" s="1">
        <v>45717</v>
      </c>
      <c r="B179">
        <v>511.52</v>
      </c>
      <c r="C179">
        <v>513.04</v>
      </c>
      <c r="D179">
        <v>457.33</v>
      </c>
      <c r="E179">
        <v>468.92</v>
      </c>
      <c r="F179">
        <v>465.97</v>
      </c>
      <c r="G179">
        <v>981927300</v>
      </c>
      <c r="H179" t="str">
        <f t="shared" si="8"/>
        <v>No</v>
      </c>
      <c r="I179" s="3">
        <f t="shared" si="7"/>
        <v>-7.7232310830346318E-2</v>
      </c>
    </row>
    <row r="180" spans="1:9" x14ac:dyDescent="0.3">
      <c r="A180" s="1">
        <v>45748</v>
      </c>
      <c r="B180">
        <v>467.3</v>
      </c>
      <c r="C180">
        <v>479.56</v>
      </c>
      <c r="D180">
        <v>402.39</v>
      </c>
      <c r="E180">
        <v>475.47</v>
      </c>
      <c r="F180">
        <v>473.18</v>
      </c>
      <c r="G180">
        <v>1366190800</v>
      </c>
      <c r="H180" t="str">
        <f t="shared" si="8"/>
        <v>No</v>
      </c>
      <c r="I180" s="3">
        <f t="shared" si="7"/>
        <v>1.5473099126553258E-2</v>
      </c>
    </row>
    <row r="181" spans="1:9" x14ac:dyDescent="0.3">
      <c r="A181" s="1">
        <v>45778</v>
      </c>
      <c r="B181">
        <v>483.41</v>
      </c>
      <c r="C181">
        <v>526.48</v>
      </c>
      <c r="D181">
        <v>476.78</v>
      </c>
      <c r="E181">
        <v>519.11</v>
      </c>
      <c r="F181">
        <v>516.61</v>
      </c>
      <c r="G181">
        <v>993265800</v>
      </c>
      <c r="H181" t="str">
        <f t="shared" si="8"/>
        <v>No</v>
      </c>
      <c r="I181" s="3">
        <f t="shared" si="7"/>
        <v>9.178325373008156E-2</v>
      </c>
    </row>
    <row r="182" spans="1:9" x14ac:dyDescent="0.3">
      <c r="A182" s="1">
        <v>45809</v>
      </c>
      <c r="B182">
        <v>517.24</v>
      </c>
      <c r="C182">
        <v>552.79999999999995</v>
      </c>
      <c r="D182">
        <v>515.97</v>
      </c>
      <c r="E182">
        <v>551.64</v>
      </c>
      <c r="F182">
        <v>548.98</v>
      </c>
      <c r="G182">
        <v>924943900</v>
      </c>
      <c r="H182" t="str">
        <f t="shared" si="8"/>
        <v>No</v>
      </c>
      <c r="I182" s="3">
        <f t="shared" si="7"/>
        <v>6.2658485124174934E-2</v>
      </c>
    </row>
    <row r="183" spans="1:9" x14ac:dyDescent="0.3">
      <c r="A183" s="1">
        <v>45839</v>
      </c>
      <c r="B183">
        <v>549.73</v>
      </c>
      <c r="C183">
        <v>574.63</v>
      </c>
      <c r="D183">
        <v>544.66</v>
      </c>
      <c r="E183">
        <v>565.01</v>
      </c>
      <c r="F183">
        <v>562.91999999999996</v>
      </c>
      <c r="G183">
        <v>921977100</v>
      </c>
      <c r="H183" t="str">
        <f t="shared" si="8"/>
        <v>No</v>
      </c>
      <c r="I183" s="3">
        <f t="shared" si="7"/>
        <v>2.5392546176545405E-2</v>
      </c>
    </row>
    <row r="184" spans="1:9" x14ac:dyDescent="0.3">
      <c r="A184" s="1">
        <v>45870</v>
      </c>
      <c r="B184">
        <v>558.83000000000004</v>
      </c>
      <c r="C184">
        <v>583.32000000000005</v>
      </c>
      <c r="D184">
        <v>551.67999999999995</v>
      </c>
      <c r="E184">
        <v>570.4</v>
      </c>
      <c r="F184">
        <v>568.29</v>
      </c>
      <c r="G184">
        <v>964846900</v>
      </c>
      <c r="H184" t="str">
        <f t="shared" si="8"/>
        <v>No</v>
      </c>
      <c r="I184" s="3">
        <f t="shared" si="7"/>
        <v>9.5395438072904959E-3</v>
      </c>
    </row>
    <row r="185" spans="1:9" x14ac:dyDescent="0.3">
      <c r="A185" s="1">
        <v>45901</v>
      </c>
      <c r="B185">
        <v>561.30999999999995</v>
      </c>
      <c r="C185">
        <v>602.87</v>
      </c>
      <c r="D185">
        <v>559.54</v>
      </c>
      <c r="E185">
        <v>600.37</v>
      </c>
      <c r="F185">
        <v>598.15</v>
      </c>
      <c r="G185">
        <v>1132872000</v>
      </c>
      <c r="H185" t="str">
        <f t="shared" si="8"/>
        <v>No</v>
      </c>
      <c r="I185" s="3">
        <f t="shared" si="7"/>
        <v>5.2543595699378942E-2</v>
      </c>
    </row>
    <row r="186" spans="1:9" x14ac:dyDescent="0.3">
      <c r="A186" s="1">
        <v>45931</v>
      </c>
      <c r="B186">
        <v>597.16999999999996</v>
      </c>
      <c r="C186">
        <v>637.01</v>
      </c>
      <c r="D186">
        <v>589.04999999999995</v>
      </c>
      <c r="E186">
        <v>629.07000000000005</v>
      </c>
      <c r="F186">
        <v>627.47</v>
      </c>
      <c r="G186">
        <v>1324908800</v>
      </c>
      <c r="H186" t="str">
        <f t="shared" si="8"/>
        <v>No</v>
      </c>
      <c r="I186" s="3">
        <f t="shared" si="7"/>
        <v>4.9017804898436879E-2</v>
      </c>
    </row>
    <row r="187" spans="1:9" x14ac:dyDescent="0.3">
      <c r="A187" s="1">
        <v>45962</v>
      </c>
      <c r="B187">
        <v>635.11</v>
      </c>
      <c r="C187">
        <v>635.82000000000005</v>
      </c>
      <c r="D187">
        <v>580.74</v>
      </c>
      <c r="E187">
        <v>619.25</v>
      </c>
      <c r="F187">
        <v>617.66999999999996</v>
      </c>
      <c r="G187">
        <v>1227811700</v>
      </c>
      <c r="H187" t="str">
        <f t="shared" si="8"/>
        <v>No</v>
      </c>
      <c r="I187" s="3">
        <f t="shared" si="7"/>
        <v>-1.5618276570991574E-2</v>
      </c>
    </row>
    <row r="188" spans="1:9" x14ac:dyDescent="0.3">
      <c r="A188" s="1">
        <v>45992</v>
      </c>
      <c r="B188">
        <v>613.63</v>
      </c>
      <c r="C188">
        <v>629.21</v>
      </c>
      <c r="D188">
        <v>600.28</v>
      </c>
      <c r="E188">
        <v>614.30999999999995</v>
      </c>
      <c r="F188">
        <v>612.75</v>
      </c>
      <c r="G188">
        <v>1064378800</v>
      </c>
      <c r="H188" t="str">
        <f t="shared" si="8"/>
        <v>No</v>
      </c>
      <c r="I188" s="3">
        <f t="shared" si="7"/>
        <v>-7.9654184273154627E-3</v>
      </c>
    </row>
    <row r="189" spans="1:9" x14ac:dyDescent="0.3">
      <c r="A189" s="1">
        <v>46023</v>
      </c>
      <c r="B189">
        <v>620.05999999999995</v>
      </c>
      <c r="C189">
        <v>636.6</v>
      </c>
      <c r="D189">
        <v>607.04999999999995</v>
      </c>
      <c r="E189">
        <v>621.87</v>
      </c>
      <c r="F189">
        <v>621.09</v>
      </c>
      <c r="G189">
        <v>1085285800</v>
      </c>
      <c r="H189" t="str">
        <f t="shared" si="8"/>
        <v>No</v>
      </c>
      <c r="I189" s="3">
        <f t="shared" si="7"/>
        <v>1.3610771113831133E-2</v>
      </c>
    </row>
    <row r="190" spans="1:9" x14ac:dyDescent="0.3">
      <c r="A190" s="1">
        <v>46054</v>
      </c>
      <c r="B190">
        <v>618.70000000000005</v>
      </c>
      <c r="C190">
        <v>629.98</v>
      </c>
      <c r="D190">
        <v>593.34</v>
      </c>
      <c r="E190">
        <v>607.29</v>
      </c>
      <c r="F190">
        <v>606.53</v>
      </c>
      <c r="G190">
        <v>1306657000</v>
      </c>
      <c r="H190" t="str">
        <f t="shared" si="8"/>
        <v>No</v>
      </c>
      <c r="I190" s="3">
        <f t="shared" si="7"/>
        <v>-2.3442657263842648E-2</v>
      </c>
    </row>
    <row r="191" spans="1:9" x14ac:dyDescent="0.3">
      <c r="A191" s="1">
        <v>46082</v>
      </c>
      <c r="B191">
        <v>598.86</v>
      </c>
      <c r="C191">
        <v>613.29</v>
      </c>
      <c r="D191">
        <v>555.6</v>
      </c>
      <c r="E191">
        <v>577.17999999999995</v>
      </c>
      <c r="F191">
        <v>576.45000000000005</v>
      </c>
      <c r="G191">
        <v>1630084200</v>
      </c>
      <c r="H191" t="str">
        <f t="shared" si="8"/>
        <v>No</v>
      </c>
      <c r="I191" s="3">
        <f t="shared" si="7"/>
        <v>-4.9593589764727053E-2</v>
      </c>
    </row>
    <row r="192" spans="1:9" x14ac:dyDescent="0.3">
      <c r="A192" s="1">
        <v>46113</v>
      </c>
      <c r="B192">
        <v>581.48</v>
      </c>
      <c r="C192">
        <v>668.9</v>
      </c>
      <c r="D192">
        <v>571.91999999999996</v>
      </c>
      <c r="E192">
        <v>667.74</v>
      </c>
      <c r="F192">
        <v>667.74</v>
      </c>
      <c r="G192">
        <v>918162900</v>
      </c>
      <c r="H192" t="str">
        <f t="shared" si="8"/>
        <v>No</v>
      </c>
      <c r="I192" s="3">
        <f t="shared" si="7"/>
        <v>0.15836586000520425</v>
      </c>
    </row>
    <row r="193" spans="1:9" x14ac:dyDescent="0.3">
      <c r="A193" s="1">
        <v>46143</v>
      </c>
      <c r="B193">
        <v>669.16</v>
      </c>
      <c r="C193">
        <v>741.63</v>
      </c>
      <c r="D193">
        <v>668.8</v>
      </c>
      <c r="E193">
        <v>738.31</v>
      </c>
      <c r="F193">
        <v>738.31</v>
      </c>
      <c r="G193">
        <v>787478800</v>
      </c>
      <c r="H193" t="str">
        <f t="shared" si="8"/>
        <v>No</v>
      </c>
      <c r="I193" s="3">
        <f t="shared" si="7"/>
        <v>0.10568484739569284</v>
      </c>
    </row>
    <row r="194" spans="1:9" x14ac:dyDescent="0.3">
      <c r="A194" s="1">
        <v>46174</v>
      </c>
      <c r="B194">
        <v>737.04</v>
      </c>
      <c r="C194">
        <v>748.65</v>
      </c>
      <c r="D194">
        <v>686.37</v>
      </c>
      <c r="E194">
        <v>721.34</v>
      </c>
      <c r="F194">
        <v>721.34</v>
      </c>
      <c r="G194">
        <v>572270500</v>
      </c>
      <c r="H194" t="str">
        <f t="shared" si="8"/>
        <v>No</v>
      </c>
      <c r="I194" s="3">
        <f t="shared" si="7"/>
        <v>-2.2984925031490744E-2</v>
      </c>
    </row>
    <row r="195" spans="1:9" x14ac:dyDescent="0.3">
      <c r="A195" s="1">
        <v>46185</v>
      </c>
      <c r="B195">
        <v>717.61</v>
      </c>
      <c r="C195">
        <v>724.01</v>
      </c>
      <c r="D195">
        <v>711.28</v>
      </c>
      <c r="E195">
        <v>721.34</v>
      </c>
      <c r="F195">
        <v>721.34</v>
      </c>
      <c r="G195">
        <v>49803808</v>
      </c>
      <c r="H195" t="str">
        <f t="shared" si="8"/>
        <v>No</v>
      </c>
      <c r="I195" s="3">
        <f t="shared" si="7"/>
        <v>0</v>
      </c>
    </row>
    <row r="198" spans="1:9" x14ac:dyDescent="0.3">
      <c r="H198" s="2" t="s">
        <v>11</v>
      </c>
      <c r="I198" s="4">
        <f>AVERAGE(I3:I195)</f>
        <v>1.6756444505485753E-2</v>
      </c>
    </row>
    <row r="199" spans="1:9" x14ac:dyDescent="0.3">
      <c r="H199" s="2" t="s">
        <v>12</v>
      </c>
      <c r="I199" s="4">
        <f>STDEV(I3:I195)</f>
        <v>5.0667895433618805E-2</v>
      </c>
    </row>
    <row r="200" spans="1:9" x14ac:dyDescent="0.3">
      <c r="H200" s="2"/>
      <c r="I200" s="2"/>
    </row>
  </sheetData>
  <sortState xmlns:xlrd2="http://schemas.microsoft.com/office/spreadsheetml/2017/richdata2" ref="A2:I195">
    <sortCondition ref="A2:A19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1A0B3-533E-41AF-9FE3-744A0B5E828D}">
  <dimension ref="A1:I200"/>
  <sheetViews>
    <sheetView workbookViewId="0">
      <pane ySplit="1" topLeftCell="A187" activePane="bottomLeft" state="frozen"/>
      <selection pane="bottomLeft" activeCell="H197" sqref="H197:I200"/>
    </sheetView>
  </sheetViews>
  <sheetFormatPr defaultRowHeight="14.4" x14ac:dyDescent="0.3"/>
  <cols>
    <col min="1" max="1" width="10.5546875" bestFit="1" customWidth="1"/>
    <col min="2" max="2" width="13.5546875" bestFit="1" customWidth="1"/>
    <col min="3" max="5" width="7" bestFit="1" customWidth="1"/>
    <col min="7" max="7" width="11" bestFit="1" customWidth="1"/>
    <col min="8" max="8" width="13.44140625" bestFit="1" customWidth="1"/>
  </cols>
  <sheetData>
    <row r="1" spans="1:9" s="2" customFormat="1" x14ac:dyDescent="0.3">
      <c r="A1" s="2" t="s">
        <v>0</v>
      </c>
      <c r="B1" s="2" t="s">
        <v>1</v>
      </c>
      <c r="C1" s="2" t="s">
        <v>2</v>
      </c>
      <c r="D1" s="2" t="s">
        <v>3</v>
      </c>
      <c r="E1" s="2" t="s">
        <v>4</v>
      </c>
      <c r="F1" s="2" t="s">
        <v>5</v>
      </c>
      <c r="G1" s="2" t="s">
        <v>6</v>
      </c>
      <c r="H1" s="2" t="s">
        <v>10</v>
      </c>
      <c r="I1" s="2" t="s">
        <v>15</v>
      </c>
    </row>
    <row r="2" spans="1:9" x14ac:dyDescent="0.3">
      <c r="A2" s="1">
        <v>40330</v>
      </c>
      <c r="B2">
        <v>65.599999999999994</v>
      </c>
      <c r="C2">
        <v>68</v>
      </c>
      <c r="D2">
        <v>60.7</v>
      </c>
      <c r="E2">
        <v>61.12</v>
      </c>
      <c r="F2">
        <v>49.19</v>
      </c>
      <c r="G2">
        <v>1750853100</v>
      </c>
      <c r="H2" t="str">
        <f t="shared" ref="H2:H33" si="0">IF(ISNUMBER(SEARCH("Dividend",B2)),"Yes","No")</f>
        <v>No</v>
      </c>
      <c r="I2" s="3"/>
    </row>
    <row r="3" spans="1:9" x14ac:dyDescent="0.3">
      <c r="A3" s="1">
        <v>40360</v>
      </c>
      <c r="B3">
        <v>61.2</v>
      </c>
      <c r="C3">
        <v>67.27</v>
      </c>
      <c r="D3">
        <v>58.66</v>
      </c>
      <c r="E3">
        <v>65.02</v>
      </c>
      <c r="F3">
        <v>52.33</v>
      </c>
      <c r="G3">
        <v>1500125000</v>
      </c>
      <c r="H3" t="str">
        <f t="shared" si="0"/>
        <v>No</v>
      </c>
      <c r="I3" s="3">
        <f>(F3/F2)-1</f>
        <v>6.3834112624517214E-2</v>
      </c>
    </row>
    <row r="4" spans="1:9" x14ac:dyDescent="0.3">
      <c r="A4" s="1">
        <v>40391</v>
      </c>
      <c r="B4">
        <v>66.17</v>
      </c>
      <c r="C4">
        <v>66.540000000000006</v>
      </c>
      <c r="D4">
        <v>58.8</v>
      </c>
      <c r="E4">
        <v>60.18</v>
      </c>
      <c r="F4">
        <v>48.6</v>
      </c>
      <c r="G4">
        <v>1325185200</v>
      </c>
      <c r="H4" t="str">
        <f t="shared" si="0"/>
        <v>No</v>
      </c>
      <c r="I4" s="3">
        <f t="shared" ref="I4:I67" si="1">(F4/F3)-1</f>
        <v>-7.1278425377412469E-2</v>
      </c>
    </row>
    <row r="5" spans="1:9" x14ac:dyDescent="0.3">
      <c r="A5" s="1">
        <v>40422</v>
      </c>
      <c r="B5">
        <v>61.23</v>
      </c>
      <c r="C5">
        <v>68.55</v>
      </c>
      <c r="D5">
        <v>61.02</v>
      </c>
      <c r="E5">
        <v>67.5</v>
      </c>
      <c r="F5">
        <v>54.51</v>
      </c>
      <c r="G5">
        <v>1246616300</v>
      </c>
      <c r="H5" t="str">
        <f t="shared" si="0"/>
        <v>No</v>
      </c>
      <c r="I5" s="3">
        <f t="shared" si="1"/>
        <v>0.1216049382716049</v>
      </c>
    </row>
    <row r="6" spans="1:9" x14ac:dyDescent="0.3">
      <c r="A6" s="1">
        <v>40452</v>
      </c>
      <c r="B6">
        <v>68.14</v>
      </c>
      <c r="C6">
        <v>71.56</v>
      </c>
      <c r="D6">
        <v>66.48</v>
      </c>
      <c r="E6">
        <v>70.3</v>
      </c>
      <c r="F6">
        <v>56.91</v>
      </c>
      <c r="G6">
        <v>1094941100</v>
      </c>
      <c r="H6" t="str">
        <f t="shared" si="0"/>
        <v>No</v>
      </c>
      <c r="I6" s="3">
        <f t="shared" si="1"/>
        <v>4.4028618602091285E-2</v>
      </c>
    </row>
    <row r="7" spans="1:9" x14ac:dyDescent="0.3">
      <c r="A7" s="1">
        <v>40483</v>
      </c>
      <c r="B7">
        <v>70.66</v>
      </c>
      <c r="C7">
        <v>74.05</v>
      </c>
      <c r="D7">
        <v>69.31</v>
      </c>
      <c r="E7">
        <v>72.75</v>
      </c>
      <c r="F7">
        <v>58.89</v>
      </c>
      <c r="G7">
        <v>998529700</v>
      </c>
      <c r="H7" t="str">
        <f t="shared" si="0"/>
        <v>No</v>
      </c>
      <c r="I7" s="3">
        <f t="shared" si="1"/>
        <v>3.4791776489193627E-2</v>
      </c>
    </row>
    <row r="8" spans="1:9" x14ac:dyDescent="0.3">
      <c r="A8" s="1">
        <v>40513</v>
      </c>
      <c r="B8">
        <v>74.12</v>
      </c>
      <c r="C8">
        <v>79.28</v>
      </c>
      <c r="D8">
        <v>72.81</v>
      </c>
      <c r="E8">
        <v>78.239999999999995</v>
      </c>
      <c r="F8">
        <v>63.34</v>
      </c>
      <c r="G8">
        <v>887371400</v>
      </c>
      <c r="H8" t="str">
        <f t="shared" si="0"/>
        <v>No</v>
      </c>
      <c r="I8" s="3">
        <f t="shared" si="1"/>
        <v>7.556461198845299E-2</v>
      </c>
    </row>
    <row r="9" spans="1:9" x14ac:dyDescent="0.3">
      <c r="A9" s="1">
        <v>40544</v>
      </c>
      <c r="B9">
        <v>78.94</v>
      </c>
      <c r="C9">
        <v>80.7</v>
      </c>
      <c r="D9">
        <v>76.95</v>
      </c>
      <c r="E9">
        <v>77.95</v>
      </c>
      <c r="F9">
        <v>63.39</v>
      </c>
      <c r="G9">
        <v>1074099800</v>
      </c>
      <c r="H9" t="str">
        <f t="shared" si="0"/>
        <v>No</v>
      </c>
      <c r="I9" s="3">
        <f t="shared" si="1"/>
        <v>7.8939059046412297E-4</v>
      </c>
    </row>
    <row r="10" spans="1:9" x14ac:dyDescent="0.3">
      <c r="A10" s="1">
        <v>40575</v>
      </c>
      <c r="B10">
        <v>78.58</v>
      </c>
      <c r="C10">
        <v>83.77</v>
      </c>
      <c r="D10">
        <v>78.37</v>
      </c>
      <c r="E10">
        <v>82.27</v>
      </c>
      <c r="F10">
        <v>66.900000000000006</v>
      </c>
      <c r="G10">
        <v>932211800</v>
      </c>
      <c r="H10" t="str">
        <f t="shared" si="0"/>
        <v>No</v>
      </c>
      <c r="I10" s="3">
        <f t="shared" si="1"/>
        <v>5.53715097018459E-2</v>
      </c>
    </row>
    <row r="11" spans="1:9" x14ac:dyDescent="0.3">
      <c r="A11" s="1">
        <v>40603</v>
      </c>
      <c r="B11">
        <v>82.58</v>
      </c>
      <c r="C11">
        <v>84.29</v>
      </c>
      <c r="D11">
        <v>77.569999999999993</v>
      </c>
      <c r="E11">
        <v>84.17</v>
      </c>
      <c r="F11">
        <v>68.45</v>
      </c>
      <c r="G11">
        <v>1537091900</v>
      </c>
      <c r="H11" t="str">
        <f t="shared" si="0"/>
        <v>No</v>
      </c>
      <c r="I11" s="3">
        <f t="shared" si="1"/>
        <v>2.3168908819132916E-2</v>
      </c>
    </row>
    <row r="12" spans="1:9" x14ac:dyDescent="0.3">
      <c r="A12" s="1">
        <v>40634</v>
      </c>
      <c r="B12">
        <v>84.77</v>
      </c>
      <c r="C12">
        <v>86.68</v>
      </c>
      <c r="D12">
        <v>81.430000000000007</v>
      </c>
      <c r="E12">
        <v>86.39</v>
      </c>
      <c r="F12">
        <v>70.400000000000006</v>
      </c>
      <c r="G12">
        <v>995263300</v>
      </c>
      <c r="H12" t="str">
        <f t="shared" si="0"/>
        <v>No</v>
      </c>
      <c r="I12" s="3">
        <f t="shared" si="1"/>
        <v>2.8487947406866443E-2</v>
      </c>
    </row>
    <row r="13" spans="1:9" x14ac:dyDescent="0.3">
      <c r="A13" s="1">
        <v>40664</v>
      </c>
      <c r="B13">
        <v>86.78</v>
      </c>
      <c r="C13">
        <v>86.81</v>
      </c>
      <c r="D13">
        <v>80.760000000000005</v>
      </c>
      <c r="E13">
        <v>84.84</v>
      </c>
      <c r="F13">
        <v>69.14</v>
      </c>
      <c r="G13">
        <v>1319881600</v>
      </c>
      <c r="H13" t="str">
        <f t="shared" si="0"/>
        <v>No</v>
      </c>
      <c r="I13" s="3">
        <f t="shared" si="1"/>
        <v>-1.7897727272727315E-2</v>
      </c>
    </row>
    <row r="14" spans="1:9" x14ac:dyDescent="0.3">
      <c r="A14" s="1">
        <v>40695</v>
      </c>
      <c r="B14">
        <v>84.71</v>
      </c>
      <c r="C14">
        <v>84.82</v>
      </c>
      <c r="D14">
        <v>77.23</v>
      </c>
      <c r="E14">
        <v>82.8</v>
      </c>
      <c r="F14">
        <v>67.47</v>
      </c>
      <c r="G14">
        <v>1502977500</v>
      </c>
      <c r="H14" t="str">
        <f t="shared" si="0"/>
        <v>No</v>
      </c>
      <c r="I14" s="3">
        <f t="shared" si="1"/>
        <v>-2.4153890656638755E-2</v>
      </c>
    </row>
    <row r="15" spans="1:9" x14ac:dyDescent="0.3">
      <c r="A15" s="1">
        <v>40725</v>
      </c>
      <c r="B15">
        <v>82.88</v>
      </c>
      <c r="C15">
        <v>85.97</v>
      </c>
      <c r="D15">
        <v>78.14</v>
      </c>
      <c r="E15">
        <v>79.739999999999995</v>
      </c>
      <c r="F15">
        <v>64.98</v>
      </c>
      <c r="G15">
        <v>1283053300</v>
      </c>
      <c r="H15" t="str">
        <f t="shared" si="0"/>
        <v>No</v>
      </c>
      <c r="I15" s="3">
        <f t="shared" si="1"/>
        <v>-3.6905291240551308E-2</v>
      </c>
    </row>
    <row r="16" spans="1:9" x14ac:dyDescent="0.3">
      <c r="A16" s="1">
        <v>40756</v>
      </c>
      <c r="B16">
        <v>80.69</v>
      </c>
      <c r="C16">
        <v>80.989999999999995</v>
      </c>
      <c r="D16">
        <v>63.76</v>
      </c>
      <c r="E16">
        <v>72.650000000000006</v>
      </c>
      <c r="F16">
        <v>59.38</v>
      </c>
      <c r="G16">
        <v>2395662000</v>
      </c>
      <c r="H16" t="str">
        <f t="shared" si="0"/>
        <v>No</v>
      </c>
      <c r="I16" s="3">
        <f t="shared" si="1"/>
        <v>-8.6180363188673503E-2</v>
      </c>
    </row>
    <row r="17" spans="1:9" x14ac:dyDescent="0.3">
      <c r="A17" s="1">
        <v>40787</v>
      </c>
      <c r="B17">
        <v>72.7</v>
      </c>
      <c r="C17">
        <v>73.63</v>
      </c>
      <c r="D17">
        <v>63.49</v>
      </c>
      <c r="E17">
        <v>64.3</v>
      </c>
      <c r="F17">
        <v>52.56</v>
      </c>
      <c r="G17">
        <v>1746990000</v>
      </c>
      <c r="H17" t="str">
        <f t="shared" si="0"/>
        <v>No</v>
      </c>
      <c r="I17" s="3">
        <f t="shared" si="1"/>
        <v>-0.11485348602222967</v>
      </c>
    </row>
    <row r="18" spans="1:9" x14ac:dyDescent="0.3">
      <c r="A18" s="1">
        <v>40817</v>
      </c>
      <c r="B18">
        <v>63.81</v>
      </c>
      <c r="C18">
        <v>76.97</v>
      </c>
      <c r="D18">
        <v>60.09</v>
      </c>
      <c r="E18">
        <v>74.010000000000005</v>
      </c>
      <c r="F18">
        <v>60.73</v>
      </c>
      <c r="G18">
        <v>1800101400</v>
      </c>
      <c r="H18" t="str">
        <f t="shared" si="0"/>
        <v>No</v>
      </c>
      <c r="I18" s="3">
        <f t="shared" si="1"/>
        <v>0.155441400304414</v>
      </c>
    </row>
    <row r="19" spans="1:9" x14ac:dyDescent="0.3">
      <c r="A19" s="1">
        <v>40848</v>
      </c>
      <c r="B19">
        <v>71.180000000000007</v>
      </c>
      <c r="C19">
        <v>75.64</v>
      </c>
      <c r="D19">
        <v>66.62</v>
      </c>
      <c r="E19">
        <v>73.73</v>
      </c>
      <c r="F19">
        <v>60.5</v>
      </c>
      <c r="G19">
        <v>1405487100</v>
      </c>
      <c r="H19" t="str">
        <f t="shared" si="0"/>
        <v>No</v>
      </c>
      <c r="I19" s="3">
        <f t="shared" si="1"/>
        <v>-3.7872550633952784E-3</v>
      </c>
    </row>
    <row r="20" spans="1:9" x14ac:dyDescent="0.3">
      <c r="A20" s="1">
        <v>40878</v>
      </c>
      <c r="B20">
        <v>73.47</v>
      </c>
      <c r="C20">
        <v>75.39</v>
      </c>
      <c r="D20">
        <v>70.58</v>
      </c>
      <c r="E20">
        <v>73.75</v>
      </c>
      <c r="F20">
        <v>60.51</v>
      </c>
      <c r="G20">
        <v>1103297700</v>
      </c>
      <c r="H20" t="str">
        <f t="shared" si="0"/>
        <v>No</v>
      </c>
      <c r="I20" s="3">
        <f t="shared" si="1"/>
        <v>1.6528925619829771E-4</v>
      </c>
    </row>
    <row r="21" spans="1:9" x14ac:dyDescent="0.3">
      <c r="A21" s="1">
        <v>40909</v>
      </c>
      <c r="B21">
        <v>75.680000000000007</v>
      </c>
      <c r="C21">
        <v>79.91</v>
      </c>
      <c r="D21">
        <v>73.37</v>
      </c>
      <c r="E21">
        <v>79.02</v>
      </c>
      <c r="F21">
        <v>65.150000000000006</v>
      </c>
      <c r="G21">
        <v>925952900</v>
      </c>
      <c r="H21" t="str">
        <f t="shared" si="0"/>
        <v>No</v>
      </c>
      <c r="I21" s="3">
        <f t="shared" si="1"/>
        <v>7.6681540241282597E-2</v>
      </c>
    </row>
    <row r="22" spans="1:9" x14ac:dyDescent="0.3">
      <c r="A22" s="1">
        <v>40940</v>
      </c>
      <c r="B22">
        <v>79.760000000000005</v>
      </c>
      <c r="C22">
        <v>83.31</v>
      </c>
      <c r="D22">
        <v>79.47</v>
      </c>
      <c r="E22">
        <v>81.05</v>
      </c>
      <c r="F22">
        <v>66.83</v>
      </c>
      <c r="G22">
        <v>980020300</v>
      </c>
      <c r="H22" t="str">
        <f t="shared" si="0"/>
        <v>No</v>
      </c>
      <c r="I22" s="3">
        <f t="shared" si="1"/>
        <v>2.5786646201074293E-2</v>
      </c>
    </row>
    <row r="23" spans="1:9" x14ac:dyDescent="0.3">
      <c r="A23" s="1">
        <v>40969</v>
      </c>
      <c r="B23">
        <v>81.38</v>
      </c>
      <c r="C23">
        <v>84.66</v>
      </c>
      <c r="D23">
        <v>78.41</v>
      </c>
      <c r="E23">
        <v>82.81</v>
      </c>
      <c r="F23">
        <v>68.28</v>
      </c>
      <c r="G23">
        <v>1166983800</v>
      </c>
      <c r="H23" t="str">
        <f t="shared" si="0"/>
        <v>No</v>
      </c>
      <c r="I23" s="3">
        <f t="shared" si="1"/>
        <v>2.1696842735298594E-2</v>
      </c>
    </row>
    <row r="24" spans="1:9" x14ac:dyDescent="0.3">
      <c r="A24" s="1">
        <v>41000</v>
      </c>
      <c r="B24">
        <v>82.54</v>
      </c>
      <c r="C24">
        <v>84</v>
      </c>
      <c r="D24">
        <v>78.14</v>
      </c>
      <c r="E24">
        <v>81.47</v>
      </c>
      <c r="F24">
        <v>67.38</v>
      </c>
      <c r="G24">
        <v>1069203900</v>
      </c>
      <c r="H24" t="str">
        <f t="shared" si="0"/>
        <v>No</v>
      </c>
      <c r="I24" s="3">
        <f t="shared" si="1"/>
        <v>-1.3181019332161759E-2</v>
      </c>
    </row>
    <row r="25" spans="1:9" x14ac:dyDescent="0.3">
      <c r="A25" s="1">
        <v>41030</v>
      </c>
      <c r="B25">
        <v>81.56</v>
      </c>
      <c r="C25">
        <v>82.97</v>
      </c>
      <c r="D25">
        <v>74.41</v>
      </c>
      <c r="E25">
        <v>76.11</v>
      </c>
      <c r="F25">
        <v>62.95</v>
      </c>
      <c r="G25">
        <v>1257046000</v>
      </c>
      <c r="H25" t="str">
        <f t="shared" si="0"/>
        <v>No</v>
      </c>
      <c r="I25" s="3">
        <f t="shared" si="1"/>
        <v>-6.5746512318195172E-2</v>
      </c>
    </row>
    <row r="26" spans="1:9" x14ac:dyDescent="0.3">
      <c r="A26" s="1">
        <v>41061</v>
      </c>
      <c r="B26">
        <v>74.400000000000006</v>
      </c>
      <c r="C26">
        <v>79.73</v>
      </c>
      <c r="D26">
        <v>72.94</v>
      </c>
      <c r="E26">
        <v>79.56</v>
      </c>
      <c r="F26">
        <v>65.8</v>
      </c>
      <c r="G26">
        <v>1145312200</v>
      </c>
      <c r="H26" t="str">
        <f t="shared" si="0"/>
        <v>No</v>
      </c>
      <c r="I26" s="3">
        <f t="shared" si="1"/>
        <v>4.5274027005559825E-2</v>
      </c>
    </row>
    <row r="27" spans="1:9" x14ac:dyDescent="0.3">
      <c r="A27" s="1">
        <v>41091</v>
      </c>
      <c r="B27">
        <v>79.92</v>
      </c>
      <c r="C27">
        <v>81.84</v>
      </c>
      <c r="D27">
        <v>76.22</v>
      </c>
      <c r="E27">
        <v>78.349999999999994</v>
      </c>
      <c r="F27">
        <v>65.12</v>
      </c>
      <c r="G27">
        <v>938763600</v>
      </c>
      <c r="H27" t="str">
        <f t="shared" si="0"/>
        <v>No</v>
      </c>
      <c r="I27" s="3">
        <f t="shared" si="1"/>
        <v>-1.0334346504559111E-2</v>
      </c>
    </row>
    <row r="28" spans="1:9" x14ac:dyDescent="0.3">
      <c r="A28" s="1">
        <v>41122</v>
      </c>
      <c r="B28">
        <v>78.91</v>
      </c>
      <c r="C28">
        <v>82.71</v>
      </c>
      <c r="D28">
        <v>76.25</v>
      </c>
      <c r="E28">
        <v>81.12</v>
      </c>
      <c r="F28">
        <v>67.42</v>
      </c>
      <c r="G28">
        <v>799934100</v>
      </c>
      <c r="H28" t="str">
        <f t="shared" si="0"/>
        <v>No</v>
      </c>
      <c r="I28" s="3">
        <f t="shared" si="1"/>
        <v>3.5319410319410327E-2</v>
      </c>
    </row>
    <row r="29" spans="1:9" x14ac:dyDescent="0.3">
      <c r="A29" s="1">
        <v>41153</v>
      </c>
      <c r="B29">
        <v>81.180000000000007</v>
      </c>
      <c r="C29">
        <v>86.96</v>
      </c>
      <c r="D29">
        <v>80.55</v>
      </c>
      <c r="E29">
        <v>83.44</v>
      </c>
      <c r="F29">
        <v>69.349999999999994</v>
      </c>
      <c r="G29">
        <v>807108600</v>
      </c>
      <c r="H29" t="str">
        <f t="shared" si="0"/>
        <v>No</v>
      </c>
      <c r="I29" s="3">
        <f t="shared" si="1"/>
        <v>2.8626520320379489E-2</v>
      </c>
    </row>
    <row r="30" spans="1:9" x14ac:dyDescent="0.3">
      <c r="A30" s="1">
        <v>41183</v>
      </c>
      <c r="B30">
        <v>83.96</v>
      </c>
      <c r="C30">
        <v>85.25</v>
      </c>
      <c r="D30">
        <v>80.430000000000007</v>
      </c>
      <c r="E30">
        <v>81.63</v>
      </c>
      <c r="F30">
        <v>68.11</v>
      </c>
      <c r="G30">
        <v>736030400</v>
      </c>
      <c r="H30" t="str">
        <f t="shared" si="0"/>
        <v>No</v>
      </c>
      <c r="I30" s="3">
        <f t="shared" si="1"/>
        <v>-1.7880317231434684E-2</v>
      </c>
    </row>
    <row r="31" spans="1:9" x14ac:dyDescent="0.3">
      <c r="A31" s="1">
        <v>41214</v>
      </c>
      <c r="B31">
        <v>81.819999999999993</v>
      </c>
      <c r="C31">
        <v>82.95</v>
      </c>
      <c r="D31">
        <v>76.13</v>
      </c>
      <c r="E31">
        <v>82.08</v>
      </c>
      <c r="F31">
        <v>68.489999999999995</v>
      </c>
      <c r="G31">
        <v>872452200</v>
      </c>
      <c r="H31" t="str">
        <f t="shared" si="0"/>
        <v>No</v>
      </c>
      <c r="I31" s="3">
        <f t="shared" si="1"/>
        <v>5.5792101013065754E-3</v>
      </c>
    </row>
    <row r="32" spans="1:9" x14ac:dyDescent="0.3">
      <c r="A32" s="1">
        <v>41244</v>
      </c>
      <c r="B32">
        <v>82.71</v>
      </c>
      <c r="C32">
        <v>84.77</v>
      </c>
      <c r="D32">
        <v>81.400000000000006</v>
      </c>
      <c r="E32">
        <v>84.32</v>
      </c>
      <c r="F32">
        <v>70.36</v>
      </c>
      <c r="G32">
        <v>746120600</v>
      </c>
      <c r="H32" t="str">
        <f t="shared" si="0"/>
        <v>No</v>
      </c>
      <c r="I32" s="3">
        <f t="shared" si="1"/>
        <v>2.7303255949773675E-2</v>
      </c>
    </row>
    <row r="33" spans="1:9" x14ac:dyDescent="0.3">
      <c r="A33" s="1">
        <v>41275</v>
      </c>
      <c r="B33">
        <v>86.34</v>
      </c>
      <c r="C33">
        <v>90.23</v>
      </c>
      <c r="D33">
        <v>86.04</v>
      </c>
      <c r="E33">
        <v>89.58</v>
      </c>
      <c r="F33">
        <v>75.39</v>
      </c>
      <c r="G33">
        <v>766259000</v>
      </c>
      <c r="H33" t="str">
        <f t="shared" si="0"/>
        <v>No</v>
      </c>
      <c r="I33" s="3">
        <f t="shared" si="1"/>
        <v>7.1489482660602732E-2</v>
      </c>
    </row>
    <row r="34" spans="1:9" x14ac:dyDescent="0.3">
      <c r="A34" s="1">
        <v>41306</v>
      </c>
      <c r="B34">
        <v>89.96</v>
      </c>
      <c r="C34">
        <v>92.68</v>
      </c>
      <c r="D34">
        <v>88.79</v>
      </c>
      <c r="E34">
        <v>90.48</v>
      </c>
      <c r="F34">
        <v>76.150000000000006</v>
      </c>
      <c r="G34">
        <v>583143300</v>
      </c>
      <c r="H34" t="str">
        <f t="shared" ref="H34:H65" si="2">IF(ISNUMBER(SEARCH("Dividend",B34)),"Yes","No")</f>
        <v>No</v>
      </c>
      <c r="I34" s="3">
        <f t="shared" si="1"/>
        <v>1.0080912587876467E-2</v>
      </c>
    </row>
    <row r="35" spans="1:9" x14ac:dyDescent="0.3">
      <c r="A35" s="1">
        <v>41334</v>
      </c>
      <c r="B35">
        <v>89.88</v>
      </c>
      <c r="C35">
        <v>94.96</v>
      </c>
      <c r="D35">
        <v>89.21</v>
      </c>
      <c r="E35">
        <v>94.43</v>
      </c>
      <c r="F35">
        <v>79.47</v>
      </c>
      <c r="G35">
        <v>646279900</v>
      </c>
      <c r="H35" t="str">
        <f t="shared" si="2"/>
        <v>No</v>
      </c>
      <c r="I35" s="3">
        <f t="shared" si="1"/>
        <v>4.3598161523309198E-2</v>
      </c>
    </row>
    <row r="36" spans="1:9" x14ac:dyDescent="0.3">
      <c r="A36" s="1">
        <v>41365</v>
      </c>
      <c r="B36">
        <v>94.27</v>
      </c>
      <c r="C36">
        <v>94.57</v>
      </c>
      <c r="D36">
        <v>89.13</v>
      </c>
      <c r="E36">
        <v>94.1</v>
      </c>
      <c r="F36">
        <v>79.42</v>
      </c>
      <c r="G36">
        <v>1052706400</v>
      </c>
      <c r="H36" t="str">
        <f t="shared" si="2"/>
        <v>No</v>
      </c>
      <c r="I36" s="3">
        <f t="shared" si="1"/>
        <v>-6.2916823958725221E-4</v>
      </c>
    </row>
    <row r="37" spans="1:9" x14ac:dyDescent="0.3">
      <c r="A37" s="1">
        <v>41395</v>
      </c>
      <c r="B37">
        <v>93.81</v>
      </c>
      <c r="C37">
        <v>100.38</v>
      </c>
      <c r="D37">
        <v>91.76</v>
      </c>
      <c r="E37">
        <v>97.8</v>
      </c>
      <c r="F37">
        <v>82.54</v>
      </c>
      <c r="G37">
        <v>896201900</v>
      </c>
      <c r="H37" t="str">
        <f t="shared" si="2"/>
        <v>No</v>
      </c>
      <c r="I37" s="3">
        <f t="shared" si="1"/>
        <v>3.9284814908083554E-2</v>
      </c>
    </row>
    <row r="38" spans="1:9" x14ac:dyDescent="0.3">
      <c r="A38" s="1">
        <v>41426</v>
      </c>
      <c r="B38">
        <v>98.14</v>
      </c>
      <c r="C38">
        <v>99.8</v>
      </c>
      <c r="D38">
        <v>93.83</v>
      </c>
      <c r="E38">
        <v>97</v>
      </c>
      <c r="F38">
        <v>81.87</v>
      </c>
      <c r="G38">
        <v>996340700</v>
      </c>
      <c r="H38" t="str">
        <f t="shared" si="2"/>
        <v>No</v>
      </c>
      <c r="I38" s="3">
        <f t="shared" si="1"/>
        <v>-8.117276472013546E-3</v>
      </c>
    </row>
    <row r="39" spans="1:9" x14ac:dyDescent="0.3">
      <c r="A39" s="1">
        <v>41456</v>
      </c>
      <c r="B39">
        <v>97.65</v>
      </c>
      <c r="C39">
        <v>104.98</v>
      </c>
      <c r="D39">
        <v>97.45</v>
      </c>
      <c r="E39">
        <v>103.66</v>
      </c>
      <c r="F39">
        <v>87.49</v>
      </c>
      <c r="G39">
        <v>690073000</v>
      </c>
      <c r="H39" t="str">
        <f t="shared" si="2"/>
        <v>No</v>
      </c>
      <c r="I39" s="3">
        <f t="shared" si="1"/>
        <v>6.8645413460363791E-2</v>
      </c>
    </row>
    <row r="40" spans="1:9" x14ac:dyDescent="0.3">
      <c r="A40" s="1">
        <v>41487</v>
      </c>
      <c r="B40">
        <v>104.68</v>
      </c>
      <c r="C40">
        <v>105.63</v>
      </c>
      <c r="D40">
        <v>100.24</v>
      </c>
      <c r="E40">
        <v>100.38</v>
      </c>
      <c r="F40">
        <v>85.09</v>
      </c>
      <c r="G40">
        <v>641771700</v>
      </c>
      <c r="H40" t="str">
        <f t="shared" si="2"/>
        <v>No</v>
      </c>
      <c r="I40" s="3">
        <f t="shared" si="1"/>
        <v>-2.7431706480740559E-2</v>
      </c>
    </row>
    <row r="41" spans="1:9" x14ac:dyDescent="0.3">
      <c r="A41" s="1">
        <v>41518</v>
      </c>
      <c r="B41">
        <v>101.86</v>
      </c>
      <c r="C41">
        <v>107.61</v>
      </c>
      <c r="D41">
        <v>100.13</v>
      </c>
      <c r="E41">
        <v>106.61</v>
      </c>
      <c r="F41">
        <v>90.37</v>
      </c>
      <c r="G41">
        <v>685107200</v>
      </c>
      <c r="H41" t="str">
        <f t="shared" si="2"/>
        <v>No</v>
      </c>
      <c r="I41" s="3">
        <f t="shared" si="1"/>
        <v>6.2051944999412356E-2</v>
      </c>
    </row>
    <row r="42" spans="1:9" x14ac:dyDescent="0.3">
      <c r="A42" s="1">
        <v>41548</v>
      </c>
      <c r="B42">
        <v>106.56</v>
      </c>
      <c r="C42">
        <v>111.62</v>
      </c>
      <c r="D42">
        <v>103</v>
      </c>
      <c r="E42">
        <v>109.19</v>
      </c>
      <c r="F42">
        <v>92.8</v>
      </c>
      <c r="G42">
        <v>882360000</v>
      </c>
      <c r="H42" t="str">
        <f t="shared" si="2"/>
        <v>No</v>
      </c>
      <c r="I42" s="3">
        <f t="shared" si="1"/>
        <v>2.6889454464977147E-2</v>
      </c>
    </row>
    <row r="43" spans="1:9" x14ac:dyDescent="0.3">
      <c r="A43" s="1">
        <v>41579</v>
      </c>
      <c r="B43">
        <v>109.41</v>
      </c>
      <c r="C43">
        <v>114.16</v>
      </c>
      <c r="D43">
        <v>107.14</v>
      </c>
      <c r="E43">
        <v>113.51</v>
      </c>
      <c r="F43">
        <v>96.48</v>
      </c>
      <c r="G43">
        <v>749041900</v>
      </c>
      <c r="H43" t="str">
        <f t="shared" si="2"/>
        <v>No</v>
      </c>
      <c r="I43" s="3">
        <f t="shared" si="1"/>
        <v>3.9655172413793238E-2</v>
      </c>
    </row>
    <row r="44" spans="1:9" x14ac:dyDescent="0.3">
      <c r="A44" s="1">
        <v>41609</v>
      </c>
      <c r="B44">
        <v>113.7</v>
      </c>
      <c r="C44">
        <v>115.97</v>
      </c>
      <c r="D44">
        <v>109.32</v>
      </c>
      <c r="E44">
        <v>115.36</v>
      </c>
      <c r="F44">
        <v>98.05</v>
      </c>
      <c r="G44">
        <v>741583600</v>
      </c>
      <c r="H44" t="str">
        <f t="shared" si="2"/>
        <v>No</v>
      </c>
      <c r="I44" s="3">
        <f t="shared" si="1"/>
        <v>1.6272802653399587E-2</v>
      </c>
    </row>
    <row r="45" spans="1:9" x14ac:dyDescent="0.3">
      <c r="A45" s="1">
        <v>41640</v>
      </c>
      <c r="B45">
        <v>115.09</v>
      </c>
      <c r="C45">
        <v>117.37</v>
      </c>
      <c r="D45">
        <v>111.02</v>
      </c>
      <c r="E45">
        <v>112.16</v>
      </c>
      <c r="F45">
        <v>95.7</v>
      </c>
      <c r="G45">
        <v>792854000</v>
      </c>
      <c r="H45" t="str">
        <f t="shared" si="2"/>
        <v>No</v>
      </c>
      <c r="I45" s="3">
        <f t="shared" si="1"/>
        <v>-2.3967363590005064E-2</v>
      </c>
    </row>
    <row r="46" spans="1:9" x14ac:dyDescent="0.3">
      <c r="A46" s="1">
        <v>41671</v>
      </c>
      <c r="B46">
        <v>111.87</v>
      </c>
      <c r="C46">
        <v>118.71</v>
      </c>
      <c r="D46">
        <v>107.27</v>
      </c>
      <c r="E46">
        <v>117.52</v>
      </c>
      <c r="F46">
        <v>100.27</v>
      </c>
      <c r="G46">
        <v>844601900</v>
      </c>
      <c r="H46" t="str">
        <f t="shared" si="2"/>
        <v>No</v>
      </c>
      <c r="I46" s="3">
        <f t="shared" si="1"/>
        <v>4.7753396029257988E-2</v>
      </c>
    </row>
    <row r="47" spans="1:9" x14ac:dyDescent="0.3">
      <c r="A47" s="1">
        <v>41699</v>
      </c>
      <c r="B47">
        <v>116.52</v>
      </c>
      <c r="C47">
        <v>120.58</v>
      </c>
      <c r="D47">
        <v>113.69</v>
      </c>
      <c r="E47">
        <v>116.34</v>
      </c>
      <c r="F47">
        <v>99.26</v>
      </c>
      <c r="G47">
        <v>1045242100</v>
      </c>
      <c r="H47" t="str">
        <f t="shared" si="2"/>
        <v>No</v>
      </c>
      <c r="I47" s="3">
        <f t="shared" si="1"/>
        <v>-1.007280343073691E-2</v>
      </c>
    </row>
    <row r="48" spans="1:9" x14ac:dyDescent="0.3">
      <c r="A48" s="1">
        <v>41730</v>
      </c>
      <c r="B48">
        <v>116.63</v>
      </c>
      <c r="C48">
        <v>118.48</v>
      </c>
      <c r="D48">
        <v>108.66</v>
      </c>
      <c r="E48">
        <v>111.98</v>
      </c>
      <c r="F48">
        <v>95.79</v>
      </c>
      <c r="G48">
        <v>1116610700</v>
      </c>
      <c r="H48" t="str">
        <f t="shared" si="2"/>
        <v>No</v>
      </c>
      <c r="I48" s="3">
        <f t="shared" si="1"/>
        <v>-3.4958694338101948E-2</v>
      </c>
    </row>
    <row r="49" spans="1:9" x14ac:dyDescent="0.3">
      <c r="A49" s="1">
        <v>41760</v>
      </c>
      <c r="B49">
        <v>111.75</v>
      </c>
      <c r="C49">
        <v>113.84</v>
      </c>
      <c r="D49">
        <v>107.44</v>
      </c>
      <c r="E49">
        <v>112.86</v>
      </c>
      <c r="F49">
        <v>96.54</v>
      </c>
      <c r="G49">
        <v>1099414400</v>
      </c>
      <c r="H49" t="str">
        <f t="shared" si="2"/>
        <v>No</v>
      </c>
      <c r="I49" s="3">
        <f t="shared" si="1"/>
        <v>7.8296273097400171E-3</v>
      </c>
    </row>
    <row r="50" spans="1:9" x14ac:dyDescent="0.3">
      <c r="A50" s="1">
        <v>41791</v>
      </c>
      <c r="B50">
        <v>113.07</v>
      </c>
      <c r="C50">
        <v>118.91</v>
      </c>
      <c r="D50">
        <v>111.11</v>
      </c>
      <c r="E50">
        <v>118.81</v>
      </c>
      <c r="F50">
        <v>101.63</v>
      </c>
      <c r="G50">
        <v>790245900</v>
      </c>
      <c r="H50" t="str">
        <f t="shared" si="2"/>
        <v>No</v>
      </c>
      <c r="I50" s="3">
        <f t="shared" si="1"/>
        <v>5.2724259374352433E-2</v>
      </c>
    </row>
    <row r="51" spans="1:9" x14ac:dyDescent="0.3">
      <c r="A51" s="1">
        <v>41821</v>
      </c>
      <c r="B51">
        <v>119.26</v>
      </c>
      <c r="C51">
        <v>120.97</v>
      </c>
      <c r="D51">
        <v>111.05</v>
      </c>
      <c r="E51">
        <v>111.19</v>
      </c>
      <c r="F51">
        <v>95.11</v>
      </c>
      <c r="G51">
        <v>888665600</v>
      </c>
      <c r="H51" t="str">
        <f t="shared" si="2"/>
        <v>No</v>
      </c>
      <c r="I51" s="3">
        <f t="shared" si="1"/>
        <v>-6.4154285152022039E-2</v>
      </c>
    </row>
    <row r="52" spans="1:9" x14ac:dyDescent="0.3">
      <c r="A52" s="1">
        <v>41852</v>
      </c>
      <c r="B52">
        <v>111.16</v>
      </c>
      <c r="C52">
        <v>116.94</v>
      </c>
      <c r="D52">
        <v>109.86</v>
      </c>
      <c r="E52">
        <v>116.56</v>
      </c>
      <c r="F52">
        <v>100.09</v>
      </c>
      <c r="G52">
        <v>690036500</v>
      </c>
      <c r="H52" t="str">
        <f t="shared" si="2"/>
        <v>No</v>
      </c>
      <c r="I52" s="3">
        <f t="shared" si="1"/>
        <v>5.2360424771317415E-2</v>
      </c>
    </row>
    <row r="53" spans="1:9" x14ac:dyDescent="0.3">
      <c r="A53" s="1">
        <v>41883</v>
      </c>
      <c r="B53">
        <v>116.98</v>
      </c>
      <c r="C53">
        <v>117.8</v>
      </c>
      <c r="D53">
        <v>109.31</v>
      </c>
      <c r="E53">
        <v>109.35</v>
      </c>
      <c r="F53">
        <v>93.9</v>
      </c>
      <c r="G53">
        <v>775199100</v>
      </c>
      <c r="H53" t="str">
        <f t="shared" si="2"/>
        <v>No</v>
      </c>
      <c r="I53" s="3">
        <f t="shared" si="1"/>
        <v>-6.1844340093915484E-2</v>
      </c>
    </row>
    <row r="54" spans="1:9" x14ac:dyDescent="0.3">
      <c r="A54" s="1">
        <v>41913</v>
      </c>
      <c r="B54">
        <v>109.29</v>
      </c>
      <c r="C54">
        <v>116.96</v>
      </c>
      <c r="D54">
        <v>103.54</v>
      </c>
      <c r="E54">
        <v>116.56</v>
      </c>
      <c r="F54">
        <v>100.36</v>
      </c>
      <c r="G54">
        <v>1418613400</v>
      </c>
      <c r="H54" t="str">
        <f t="shared" si="2"/>
        <v>No</v>
      </c>
      <c r="I54" s="3">
        <f t="shared" si="1"/>
        <v>6.879659211927569E-2</v>
      </c>
    </row>
    <row r="55" spans="1:9" x14ac:dyDescent="0.3">
      <c r="A55" s="1">
        <v>41944</v>
      </c>
      <c r="B55">
        <v>116.75</v>
      </c>
      <c r="C55">
        <v>118.78</v>
      </c>
      <c r="D55">
        <v>114.37</v>
      </c>
      <c r="E55">
        <v>116.69</v>
      </c>
      <c r="F55">
        <v>100.48</v>
      </c>
      <c r="G55">
        <v>563178300</v>
      </c>
      <c r="H55" t="str">
        <f t="shared" si="2"/>
        <v>No</v>
      </c>
      <c r="I55" s="3">
        <f t="shared" si="1"/>
        <v>1.1956954962135669E-3</v>
      </c>
    </row>
    <row r="56" spans="1:9" x14ac:dyDescent="0.3">
      <c r="A56" s="1">
        <v>41974</v>
      </c>
      <c r="B56">
        <v>116.32</v>
      </c>
      <c r="C56">
        <v>121.41</v>
      </c>
      <c r="D56">
        <v>113.03</v>
      </c>
      <c r="E56">
        <v>119.62</v>
      </c>
      <c r="F56">
        <v>103</v>
      </c>
      <c r="G56">
        <v>856628400</v>
      </c>
      <c r="H56" t="str">
        <f t="shared" si="2"/>
        <v>No</v>
      </c>
      <c r="I56" s="3">
        <f t="shared" si="1"/>
        <v>2.507961783439483E-2</v>
      </c>
    </row>
    <row r="57" spans="1:9" x14ac:dyDescent="0.3">
      <c r="A57" s="1">
        <v>42005</v>
      </c>
      <c r="B57">
        <v>120.07</v>
      </c>
      <c r="C57">
        <v>120.56</v>
      </c>
      <c r="D57">
        <v>114.2</v>
      </c>
      <c r="E57">
        <v>115.7</v>
      </c>
      <c r="F57">
        <v>100</v>
      </c>
      <c r="G57">
        <v>758817500</v>
      </c>
      <c r="H57" t="str">
        <f t="shared" si="2"/>
        <v>No</v>
      </c>
      <c r="I57" s="3">
        <f t="shared" si="1"/>
        <v>-2.9126213592232997E-2</v>
      </c>
    </row>
    <row r="58" spans="1:9" x14ac:dyDescent="0.3">
      <c r="A58" s="1">
        <v>42036</v>
      </c>
      <c r="B58">
        <v>116.12</v>
      </c>
      <c r="C58">
        <v>123.36</v>
      </c>
      <c r="D58">
        <v>114.38</v>
      </c>
      <c r="E58">
        <v>122.58</v>
      </c>
      <c r="F58">
        <v>105.94</v>
      </c>
      <c r="G58">
        <v>510125500</v>
      </c>
      <c r="H58" t="str">
        <f t="shared" si="2"/>
        <v>No</v>
      </c>
      <c r="I58" s="3">
        <f t="shared" si="1"/>
        <v>5.9399999999999897E-2</v>
      </c>
    </row>
    <row r="59" spans="1:9" x14ac:dyDescent="0.3">
      <c r="A59" s="1">
        <v>42064</v>
      </c>
      <c r="B59">
        <v>122.55</v>
      </c>
      <c r="C59">
        <v>126.32</v>
      </c>
      <c r="D59">
        <v>119.83</v>
      </c>
      <c r="E59">
        <v>124.37</v>
      </c>
      <c r="F59">
        <v>107.49</v>
      </c>
      <c r="G59">
        <v>607203400</v>
      </c>
      <c r="H59" t="str">
        <f t="shared" si="2"/>
        <v>No</v>
      </c>
      <c r="I59" s="3">
        <f t="shared" si="1"/>
        <v>1.4630923164055121E-2</v>
      </c>
    </row>
    <row r="60" spans="1:9" x14ac:dyDescent="0.3">
      <c r="A60" s="1">
        <v>42095</v>
      </c>
      <c r="B60">
        <v>124.23</v>
      </c>
      <c r="C60">
        <v>127.13</v>
      </c>
      <c r="D60">
        <v>120.66</v>
      </c>
      <c r="E60">
        <v>121.18</v>
      </c>
      <c r="F60">
        <v>105.05</v>
      </c>
      <c r="G60">
        <v>570701300</v>
      </c>
      <c r="H60" t="str">
        <f t="shared" si="2"/>
        <v>No</v>
      </c>
      <c r="I60" s="3">
        <f t="shared" si="1"/>
        <v>-2.269978602660716E-2</v>
      </c>
    </row>
    <row r="61" spans="1:9" x14ac:dyDescent="0.3">
      <c r="A61" s="1">
        <v>42125</v>
      </c>
      <c r="B61">
        <v>121.52</v>
      </c>
      <c r="C61">
        <v>125.47</v>
      </c>
      <c r="D61">
        <v>120.24</v>
      </c>
      <c r="E61">
        <v>123.89</v>
      </c>
      <c r="F61">
        <v>107.4</v>
      </c>
      <c r="G61">
        <v>611023100</v>
      </c>
      <c r="H61" t="str">
        <f t="shared" si="2"/>
        <v>No</v>
      </c>
      <c r="I61" s="3">
        <f t="shared" si="1"/>
        <v>2.237029985721084E-2</v>
      </c>
    </row>
    <row r="62" spans="1:9" x14ac:dyDescent="0.3">
      <c r="A62" s="1">
        <v>42156</v>
      </c>
      <c r="B62">
        <v>124.69</v>
      </c>
      <c r="C62">
        <v>129.1</v>
      </c>
      <c r="D62">
        <v>123.03</v>
      </c>
      <c r="E62">
        <v>124.86</v>
      </c>
      <c r="F62">
        <v>108.24</v>
      </c>
      <c r="G62">
        <v>669768900</v>
      </c>
      <c r="H62" t="str">
        <f t="shared" si="2"/>
        <v>No</v>
      </c>
      <c r="I62" s="3">
        <f t="shared" si="1"/>
        <v>7.8212290502792658E-3</v>
      </c>
    </row>
    <row r="63" spans="1:9" x14ac:dyDescent="0.3">
      <c r="A63" s="1">
        <v>42186</v>
      </c>
      <c r="B63">
        <v>125.77</v>
      </c>
      <c r="C63">
        <v>126.74</v>
      </c>
      <c r="D63">
        <v>119.34</v>
      </c>
      <c r="E63">
        <v>122.96</v>
      </c>
      <c r="F63">
        <v>106.59</v>
      </c>
      <c r="G63">
        <v>683449100</v>
      </c>
      <c r="H63" t="str">
        <f t="shared" si="2"/>
        <v>No</v>
      </c>
      <c r="I63" s="3">
        <f t="shared" si="1"/>
        <v>-1.5243902439024293E-2</v>
      </c>
    </row>
    <row r="64" spans="1:9" x14ac:dyDescent="0.3">
      <c r="A64" s="1">
        <v>42217</v>
      </c>
      <c r="B64">
        <v>123.03</v>
      </c>
      <c r="C64">
        <v>123.53</v>
      </c>
      <c r="D64">
        <v>108.26</v>
      </c>
      <c r="E64">
        <v>115.2</v>
      </c>
      <c r="F64">
        <v>100.29</v>
      </c>
      <c r="G64">
        <v>871351200</v>
      </c>
      <c r="H64" t="str">
        <f t="shared" si="2"/>
        <v>No</v>
      </c>
      <c r="I64" s="3">
        <f t="shared" si="1"/>
        <v>-5.9104981705600856E-2</v>
      </c>
    </row>
    <row r="65" spans="1:9" x14ac:dyDescent="0.3">
      <c r="A65" s="1">
        <v>42248</v>
      </c>
      <c r="B65">
        <v>113.11</v>
      </c>
      <c r="C65">
        <v>118.89</v>
      </c>
      <c r="D65">
        <v>106.99</v>
      </c>
      <c r="E65">
        <v>109.2</v>
      </c>
      <c r="F65">
        <v>95.07</v>
      </c>
      <c r="G65">
        <v>770027600</v>
      </c>
      <c r="H65" t="str">
        <f t="shared" si="2"/>
        <v>No</v>
      </c>
      <c r="I65" s="3">
        <f t="shared" si="1"/>
        <v>-5.2049057732575621E-2</v>
      </c>
    </row>
    <row r="66" spans="1:9" x14ac:dyDescent="0.3">
      <c r="A66" s="1">
        <v>42278</v>
      </c>
      <c r="B66">
        <v>109.37</v>
      </c>
      <c r="C66">
        <v>117.14</v>
      </c>
      <c r="D66">
        <v>107.12</v>
      </c>
      <c r="E66">
        <v>115.34</v>
      </c>
      <c r="F66">
        <v>100.7</v>
      </c>
      <c r="G66">
        <v>800281100</v>
      </c>
      <c r="H66" t="str">
        <f t="shared" ref="H66:H97" si="3">IF(ISNUMBER(SEARCH("Dividend",B66)),"Yes","No")</f>
        <v>No</v>
      </c>
      <c r="I66" s="3">
        <f t="shared" si="1"/>
        <v>5.9219522457137019E-2</v>
      </c>
    </row>
    <row r="67" spans="1:9" x14ac:dyDescent="0.3">
      <c r="A67" s="1">
        <v>42309</v>
      </c>
      <c r="B67">
        <v>115.45</v>
      </c>
      <c r="C67">
        <v>120.07</v>
      </c>
      <c r="D67">
        <v>113.36</v>
      </c>
      <c r="E67">
        <v>119.1</v>
      </c>
      <c r="F67">
        <v>103.98</v>
      </c>
      <c r="G67">
        <v>580116600</v>
      </c>
      <c r="H67" t="str">
        <f t="shared" si="3"/>
        <v>No</v>
      </c>
      <c r="I67" s="3">
        <f t="shared" si="1"/>
        <v>3.2571996027805472E-2</v>
      </c>
    </row>
    <row r="68" spans="1:9" x14ac:dyDescent="0.3">
      <c r="A68" s="1">
        <v>42339</v>
      </c>
      <c r="B68">
        <v>119.61</v>
      </c>
      <c r="C68">
        <v>120.04</v>
      </c>
      <c r="D68">
        <v>110.28</v>
      </c>
      <c r="E68">
        <v>112.62</v>
      </c>
      <c r="F68">
        <v>98.33</v>
      </c>
      <c r="G68">
        <v>749485000</v>
      </c>
      <c r="H68" t="str">
        <f t="shared" si="3"/>
        <v>No</v>
      </c>
      <c r="I68" s="3">
        <f t="shared" ref="I68:I131" si="4">(F68/F67)-1</f>
        <v>-5.4337372571648501E-2</v>
      </c>
    </row>
    <row r="69" spans="1:9" x14ac:dyDescent="0.3">
      <c r="A69" s="1">
        <v>42370</v>
      </c>
      <c r="B69">
        <v>110.61</v>
      </c>
      <c r="C69">
        <v>110.83</v>
      </c>
      <c r="D69">
        <v>95.06</v>
      </c>
      <c r="E69">
        <v>102.96</v>
      </c>
      <c r="F69">
        <v>90.28</v>
      </c>
      <c r="G69">
        <v>1028012900</v>
      </c>
      <c r="H69" t="str">
        <f t="shared" si="3"/>
        <v>No</v>
      </c>
      <c r="I69" s="3">
        <f t="shared" si="4"/>
        <v>-8.1867181938370726E-2</v>
      </c>
    </row>
    <row r="70" spans="1:9" x14ac:dyDescent="0.3">
      <c r="A70" s="1">
        <v>42401</v>
      </c>
      <c r="B70">
        <v>102.14</v>
      </c>
      <c r="C70">
        <v>104.03</v>
      </c>
      <c r="D70">
        <v>93.64</v>
      </c>
      <c r="E70">
        <v>102.73</v>
      </c>
      <c r="F70">
        <v>90.08</v>
      </c>
      <c r="G70">
        <v>815894100</v>
      </c>
      <c r="H70" t="str">
        <f t="shared" si="3"/>
        <v>No</v>
      </c>
      <c r="I70" s="3">
        <f t="shared" si="4"/>
        <v>-2.2153300841826207E-3</v>
      </c>
    </row>
    <row r="71" spans="1:9" x14ac:dyDescent="0.3">
      <c r="A71" s="1">
        <v>42430</v>
      </c>
      <c r="B71">
        <v>103.62</v>
      </c>
      <c r="C71">
        <v>111.17</v>
      </c>
      <c r="D71">
        <v>103.07</v>
      </c>
      <c r="E71">
        <v>110.63</v>
      </c>
      <c r="F71">
        <v>97.01</v>
      </c>
      <c r="G71">
        <v>749634900</v>
      </c>
      <c r="H71" t="str">
        <f t="shared" si="3"/>
        <v>No</v>
      </c>
      <c r="I71" s="3">
        <f t="shared" si="4"/>
        <v>7.6931616341030296E-2</v>
      </c>
    </row>
    <row r="72" spans="1:9" x14ac:dyDescent="0.3">
      <c r="A72" s="1">
        <v>42461</v>
      </c>
      <c r="B72">
        <v>109.61</v>
      </c>
      <c r="C72">
        <v>115.05</v>
      </c>
      <c r="D72">
        <v>108.13</v>
      </c>
      <c r="E72">
        <v>112.48</v>
      </c>
      <c r="F72">
        <v>98.93</v>
      </c>
      <c r="G72">
        <v>554198800</v>
      </c>
      <c r="H72" t="str">
        <f t="shared" si="3"/>
        <v>No</v>
      </c>
      <c r="I72" s="3">
        <f t="shared" si="4"/>
        <v>1.979177404391308E-2</v>
      </c>
    </row>
    <row r="73" spans="1:9" x14ac:dyDescent="0.3">
      <c r="A73" s="1">
        <v>42491</v>
      </c>
      <c r="B73">
        <v>112.83</v>
      </c>
      <c r="C73">
        <v>115.54</v>
      </c>
      <c r="D73">
        <v>107.99</v>
      </c>
      <c r="E73">
        <v>115</v>
      </c>
      <c r="F73">
        <v>101.14</v>
      </c>
      <c r="G73">
        <v>611688000</v>
      </c>
      <c r="H73" t="str">
        <f t="shared" si="3"/>
        <v>No</v>
      </c>
      <c r="I73" s="3">
        <f t="shared" si="4"/>
        <v>2.233902759526929E-2</v>
      </c>
    </row>
    <row r="74" spans="1:9" x14ac:dyDescent="0.3">
      <c r="A74" s="1">
        <v>42522</v>
      </c>
      <c r="B74">
        <v>114.61</v>
      </c>
      <c r="C74">
        <v>118.64</v>
      </c>
      <c r="D74">
        <v>108.19</v>
      </c>
      <c r="E74">
        <v>114.98</v>
      </c>
      <c r="F74">
        <v>101.13</v>
      </c>
      <c r="G74">
        <v>744735500</v>
      </c>
      <c r="H74" t="str">
        <f t="shared" si="3"/>
        <v>No</v>
      </c>
      <c r="I74" s="3">
        <f t="shared" si="4"/>
        <v>-9.8872849515596606E-5</v>
      </c>
    </row>
    <row r="75" spans="1:9" x14ac:dyDescent="0.3">
      <c r="A75" s="1">
        <v>42552</v>
      </c>
      <c r="B75">
        <v>115.05</v>
      </c>
      <c r="C75">
        <v>121.76</v>
      </c>
      <c r="D75">
        <v>112.31</v>
      </c>
      <c r="E75">
        <v>121.07</v>
      </c>
      <c r="F75">
        <v>106.48</v>
      </c>
      <c r="G75">
        <v>477046200</v>
      </c>
      <c r="H75" t="str">
        <f t="shared" si="3"/>
        <v>No</v>
      </c>
      <c r="I75" s="3">
        <f t="shared" si="4"/>
        <v>5.2902205082567155E-2</v>
      </c>
    </row>
    <row r="76" spans="1:9" x14ac:dyDescent="0.3">
      <c r="A76" s="1">
        <v>42583</v>
      </c>
      <c r="B76">
        <v>121.2</v>
      </c>
      <c r="C76">
        <v>124.46</v>
      </c>
      <c r="D76">
        <v>119.1</v>
      </c>
      <c r="E76">
        <v>123.23</v>
      </c>
      <c r="F76">
        <v>108.98</v>
      </c>
      <c r="G76">
        <v>464701000</v>
      </c>
      <c r="H76" t="str">
        <f t="shared" si="3"/>
        <v>No</v>
      </c>
      <c r="I76" s="3">
        <f t="shared" si="4"/>
        <v>2.3478587528174222E-2</v>
      </c>
    </row>
    <row r="77" spans="1:9" x14ac:dyDescent="0.3">
      <c r="A77" s="1">
        <v>42614</v>
      </c>
      <c r="B77">
        <v>123.34</v>
      </c>
      <c r="C77">
        <v>125.88</v>
      </c>
      <c r="D77">
        <v>119.88</v>
      </c>
      <c r="E77">
        <v>124.21</v>
      </c>
      <c r="F77">
        <v>109.84</v>
      </c>
      <c r="G77">
        <v>568715500</v>
      </c>
      <c r="H77" t="str">
        <f t="shared" si="3"/>
        <v>No</v>
      </c>
      <c r="I77" s="3">
        <f t="shared" si="4"/>
        <v>7.8913562121489811E-3</v>
      </c>
    </row>
    <row r="78" spans="1:9" x14ac:dyDescent="0.3">
      <c r="A78" s="1">
        <v>42644</v>
      </c>
      <c r="B78">
        <v>123.83</v>
      </c>
      <c r="C78">
        <v>124.74</v>
      </c>
      <c r="D78">
        <v>117.75</v>
      </c>
      <c r="E78">
        <v>118.5</v>
      </c>
      <c r="F78">
        <v>105.08</v>
      </c>
      <c r="G78">
        <v>479702200</v>
      </c>
      <c r="H78" t="str">
        <f t="shared" si="3"/>
        <v>No</v>
      </c>
      <c r="I78" s="3">
        <f t="shared" si="4"/>
        <v>-4.333576110706483E-2</v>
      </c>
    </row>
    <row r="79" spans="1:9" x14ac:dyDescent="0.3">
      <c r="A79" s="1">
        <v>42675</v>
      </c>
      <c r="B79">
        <v>118.66</v>
      </c>
      <c r="C79">
        <v>134.1</v>
      </c>
      <c r="D79">
        <v>114.88</v>
      </c>
      <c r="E79">
        <v>131.61000000000001</v>
      </c>
      <c r="F79">
        <v>116.71</v>
      </c>
      <c r="G79">
        <v>901384500</v>
      </c>
      <c r="H79" t="str">
        <f t="shared" si="3"/>
        <v>No</v>
      </c>
      <c r="I79" s="3">
        <f t="shared" si="4"/>
        <v>0.11067757898743813</v>
      </c>
    </row>
    <row r="80" spans="1:9" x14ac:dyDescent="0.3">
      <c r="A80" s="1">
        <v>42705</v>
      </c>
      <c r="B80">
        <v>132.25</v>
      </c>
      <c r="C80">
        <v>138.82</v>
      </c>
      <c r="D80">
        <v>130.29</v>
      </c>
      <c r="E80">
        <v>134.85</v>
      </c>
      <c r="F80">
        <v>119.58</v>
      </c>
      <c r="G80">
        <v>654446200</v>
      </c>
      <c r="H80" t="str">
        <f t="shared" si="3"/>
        <v>No</v>
      </c>
      <c r="I80" s="3">
        <f t="shared" si="4"/>
        <v>2.4590866249678767E-2</v>
      </c>
    </row>
    <row r="81" spans="1:9" x14ac:dyDescent="0.3">
      <c r="A81" s="1">
        <v>42736</v>
      </c>
      <c r="B81">
        <v>136.49</v>
      </c>
      <c r="C81">
        <v>137.96</v>
      </c>
      <c r="D81">
        <v>133.12</v>
      </c>
      <c r="E81">
        <v>135.22999999999999</v>
      </c>
      <c r="F81">
        <v>120.41</v>
      </c>
      <c r="G81">
        <v>572825400</v>
      </c>
      <c r="H81" t="str">
        <f t="shared" si="3"/>
        <v>No</v>
      </c>
      <c r="I81" s="3">
        <f t="shared" si="4"/>
        <v>6.9409600267602567E-3</v>
      </c>
    </row>
    <row r="82" spans="1:9" x14ac:dyDescent="0.3">
      <c r="A82" s="1">
        <v>42767</v>
      </c>
      <c r="B82">
        <v>136.22</v>
      </c>
      <c r="C82">
        <v>140.32</v>
      </c>
      <c r="D82">
        <v>133.88999999999999</v>
      </c>
      <c r="E82">
        <v>137.84</v>
      </c>
      <c r="F82">
        <v>122.74</v>
      </c>
      <c r="G82">
        <v>492792400</v>
      </c>
      <c r="H82" t="str">
        <f t="shared" si="3"/>
        <v>No</v>
      </c>
      <c r="I82" s="3">
        <f t="shared" si="4"/>
        <v>1.9350552279711053E-2</v>
      </c>
    </row>
    <row r="83" spans="1:9" x14ac:dyDescent="0.3">
      <c r="A83" s="1">
        <v>42795</v>
      </c>
      <c r="B83">
        <v>139.65</v>
      </c>
      <c r="C83">
        <v>140.86000000000001</v>
      </c>
      <c r="D83">
        <v>132.4</v>
      </c>
      <c r="E83">
        <v>137.47999999999999</v>
      </c>
      <c r="F83">
        <v>122.42</v>
      </c>
      <c r="G83">
        <v>734707000</v>
      </c>
      <c r="H83" t="str">
        <f t="shared" si="3"/>
        <v>No</v>
      </c>
      <c r="I83" s="3">
        <f t="shared" si="4"/>
        <v>-2.6071370376404834E-3</v>
      </c>
    </row>
    <row r="84" spans="1:9" x14ac:dyDescent="0.3">
      <c r="A84" s="1">
        <v>42826</v>
      </c>
      <c r="B84">
        <v>137.97</v>
      </c>
      <c r="C84">
        <v>141.82</v>
      </c>
      <c r="D84">
        <v>133.66</v>
      </c>
      <c r="E84">
        <v>139.06</v>
      </c>
      <c r="F84">
        <v>124.18</v>
      </c>
      <c r="G84">
        <v>587191600</v>
      </c>
      <c r="H84" t="str">
        <f t="shared" si="3"/>
        <v>No</v>
      </c>
      <c r="I84" s="3">
        <f t="shared" si="4"/>
        <v>1.4376735827479115E-2</v>
      </c>
    </row>
    <row r="85" spans="1:9" x14ac:dyDescent="0.3">
      <c r="A85" s="1">
        <v>42856</v>
      </c>
      <c r="B85">
        <v>139.63999999999999</v>
      </c>
      <c r="C85">
        <v>140.34</v>
      </c>
      <c r="D85">
        <v>134.22999999999999</v>
      </c>
      <c r="E85">
        <v>136.32</v>
      </c>
      <c r="F85">
        <v>121.73</v>
      </c>
      <c r="G85">
        <v>579204400</v>
      </c>
      <c r="H85" t="str">
        <f t="shared" si="3"/>
        <v>No</v>
      </c>
      <c r="I85" s="3">
        <f t="shared" si="4"/>
        <v>-1.9729425028184866E-2</v>
      </c>
    </row>
    <row r="86" spans="1:9" x14ac:dyDescent="0.3">
      <c r="A86" s="1">
        <v>42887</v>
      </c>
      <c r="B86">
        <v>136.72</v>
      </c>
      <c r="C86">
        <v>142.9</v>
      </c>
      <c r="D86">
        <v>136.27000000000001</v>
      </c>
      <c r="E86">
        <v>140.91999999999999</v>
      </c>
      <c r="F86">
        <v>125.84</v>
      </c>
      <c r="G86">
        <v>643359500</v>
      </c>
      <c r="H86" t="str">
        <f t="shared" si="3"/>
        <v>No</v>
      </c>
      <c r="I86" s="3">
        <f t="shared" si="4"/>
        <v>3.3763246529203927E-2</v>
      </c>
    </row>
    <row r="87" spans="1:9" x14ac:dyDescent="0.3">
      <c r="A87" s="1">
        <v>42917</v>
      </c>
      <c r="B87">
        <v>141.34</v>
      </c>
      <c r="C87">
        <v>144.25</v>
      </c>
      <c r="D87">
        <v>138.83000000000001</v>
      </c>
      <c r="E87">
        <v>141.51</v>
      </c>
      <c r="F87">
        <v>126.37</v>
      </c>
      <c r="G87">
        <v>370456200</v>
      </c>
      <c r="H87" t="str">
        <f t="shared" si="3"/>
        <v>No</v>
      </c>
      <c r="I87" s="3">
        <f t="shared" si="4"/>
        <v>4.2116973935155677E-3</v>
      </c>
    </row>
    <row r="88" spans="1:9" x14ac:dyDescent="0.3">
      <c r="A88" s="1">
        <v>42948</v>
      </c>
      <c r="B88">
        <v>142.16999999999999</v>
      </c>
      <c r="C88">
        <v>142.19999999999999</v>
      </c>
      <c r="D88">
        <v>134.12</v>
      </c>
      <c r="E88">
        <v>139.72999999999999</v>
      </c>
      <c r="F88">
        <v>125.32</v>
      </c>
      <c r="G88">
        <v>527664400</v>
      </c>
      <c r="H88" t="str">
        <f t="shared" si="3"/>
        <v>No</v>
      </c>
      <c r="I88" s="3">
        <f t="shared" si="4"/>
        <v>-8.3089340824563651E-3</v>
      </c>
    </row>
    <row r="89" spans="1:9" x14ac:dyDescent="0.3">
      <c r="A89" s="1">
        <v>42979</v>
      </c>
      <c r="B89">
        <v>139.97999999999999</v>
      </c>
      <c r="C89">
        <v>148.43</v>
      </c>
      <c r="D89">
        <v>138.58000000000001</v>
      </c>
      <c r="E89">
        <v>148.18</v>
      </c>
      <c r="F89">
        <v>132.9</v>
      </c>
      <c r="G89">
        <v>488888500</v>
      </c>
      <c r="H89" t="str">
        <f t="shared" si="3"/>
        <v>No</v>
      </c>
      <c r="I89" s="3">
        <f t="shared" si="4"/>
        <v>6.0485157995531447E-2</v>
      </c>
    </row>
    <row r="90" spans="1:9" x14ac:dyDescent="0.3">
      <c r="A90" s="1">
        <v>43009</v>
      </c>
      <c r="B90">
        <v>148.31</v>
      </c>
      <c r="C90">
        <v>150.68</v>
      </c>
      <c r="D90">
        <v>147.22</v>
      </c>
      <c r="E90">
        <v>149.26</v>
      </c>
      <c r="F90">
        <v>134.19</v>
      </c>
      <c r="G90">
        <v>467774100</v>
      </c>
      <c r="H90" t="str">
        <f t="shared" si="3"/>
        <v>No</v>
      </c>
      <c r="I90" s="3">
        <f t="shared" si="4"/>
        <v>9.7065462753949117E-3</v>
      </c>
    </row>
    <row r="91" spans="1:9" x14ac:dyDescent="0.3">
      <c r="A91" s="1">
        <v>43040</v>
      </c>
      <c r="B91">
        <v>150.5</v>
      </c>
      <c r="C91">
        <v>154.55000000000001</v>
      </c>
      <c r="D91">
        <v>144.5</v>
      </c>
      <c r="E91">
        <v>153.65</v>
      </c>
      <c r="F91">
        <v>138.13999999999999</v>
      </c>
      <c r="G91">
        <v>523762900</v>
      </c>
      <c r="H91" t="str">
        <f t="shared" si="3"/>
        <v>No</v>
      </c>
      <c r="I91" s="3">
        <f t="shared" si="4"/>
        <v>2.9435874506297033E-2</v>
      </c>
    </row>
    <row r="92" spans="1:9" x14ac:dyDescent="0.3">
      <c r="A92" s="1">
        <v>43070</v>
      </c>
      <c r="B92">
        <v>153.02000000000001</v>
      </c>
      <c r="C92">
        <v>155.41</v>
      </c>
      <c r="D92">
        <v>148.75</v>
      </c>
      <c r="E92">
        <v>152.46</v>
      </c>
      <c r="F92">
        <v>137.07</v>
      </c>
      <c r="G92">
        <v>514391900</v>
      </c>
      <c r="H92" t="str">
        <f t="shared" si="3"/>
        <v>No</v>
      </c>
      <c r="I92" s="3">
        <f t="shared" si="4"/>
        <v>-7.7457651657738547E-3</v>
      </c>
    </row>
    <row r="93" spans="1:9" x14ac:dyDescent="0.3">
      <c r="A93" s="1">
        <v>43101</v>
      </c>
      <c r="B93">
        <v>153.19999999999999</v>
      </c>
      <c r="C93">
        <v>160.63</v>
      </c>
      <c r="D93">
        <v>152.46</v>
      </c>
      <c r="E93">
        <v>156.36000000000001</v>
      </c>
      <c r="F93">
        <v>141.1</v>
      </c>
      <c r="G93">
        <v>432450700</v>
      </c>
      <c r="H93" t="str">
        <f t="shared" si="3"/>
        <v>No</v>
      </c>
      <c r="I93" s="3">
        <f t="shared" si="4"/>
        <v>2.9401035967024258E-2</v>
      </c>
    </row>
    <row r="94" spans="1:9" x14ac:dyDescent="0.3">
      <c r="A94" s="1">
        <v>43132</v>
      </c>
      <c r="B94">
        <v>155.72999999999999</v>
      </c>
      <c r="C94">
        <v>157.21</v>
      </c>
      <c r="D94">
        <v>142.5</v>
      </c>
      <c r="E94">
        <v>150.35</v>
      </c>
      <c r="F94">
        <v>135.68</v>
      </c>
      <c r="G94">
        <v>609503900</v>
      </c>
      <c r="H94" t="str">
        <f t="shared" si="3"/>
        <v>No</v>
      </c>
      <c r="I94" s="3">
        <f t="shared" si="4"/>
        <v>-3.8412473423104054E-2</v>
      </c>
    </row>
    <row r="95" spans="1:9" x14ac:dyDescent="0.3">
      <c r="A95" s="1">
        <v>43160</v>
      </c>
      <c r="B95">
        <v>150.05000000000001</v>
      </c>
      <c r="C95">
        <v>160.30000000000001</v>
      </c>
      <c r="D95">
        <v>148.38</v>
      </c>
      <c r="E95">
        <v>151.83000000000001</v>
      </c>
      <c r="F95">
        <v>137.02000000000001</v>
      </c>
      <c r="G95">
        <v>515239000</v>
      </c>
      <c r="H95" t="str">
        <f t="shared" si="3"/>
        <v>No</v>
      </c>
      <c r="I95" s="3">
        <f t="shared" si="4"/>
        <v>9.8761792452830566E-3</v>
      </c>
    </row>
    <row r="96" spans="1:9" x14ac:dyDescent="0.3">
      <c r="A96" s="1">
        <v>43191</v>
      </c>
      <c r="B96">
        <v>151.52000000000001</v>
      </c>
      <c r="C96">
        <v>158.38</v>
      </c>
      <c r="D96">
        <v>147.18</v>
      </c>
      <c r="E96">
        <v>153.32</v>
      </c>
      <c r="F96">
        <v>138.68</v>
      </c>
      <c r="G96">
        <v>429542400</v>
      </c>
      <c r="H96" t="str">
        <f t="shared" si="3"/>
        <v>No</v>
      </c>
      <c r="I96" s="3">
        <f t="shared" si="4"/>
        <v>1.2115019705152497E-2</v>
      </c>
    </row>
    <row r="97" spans="1:9" x14ac:dyDescent="0.3">
      <c r="A97" s="1">
        <v>43221</v>
      </c>
      <c r="B97">
        <v>153.01</v>
      </c>
      <c r="C97">
        <v>164.39</v>
      </c>
      <c r="D97">
        <v>151.71</v>
      </c>
      <c r="E97">
        <v>162.77000000000001</v>
      </c>
      <c r="F97">
        <v>147.22999999999999</v>
      </c>
      <c r="G97">
        <v>391840700</v>
      </c>
      <c r="H97" t="str">
        <f t="shared" si="3"/>
        <v>No</v>
      </c>
      <c r="I97" s="3">
        <f t="shared" si="4"/>
        <v>6.1652725699451905E-2</v>
      </c>
    </row>
    <row r="98" spans="1:9" x14ac:dyDescent="0.3">
      <c r="A98" s="1">
        <v>43252</v>
      </c>
      <c r="B98">
        <v>163.83000000000001</v>
      </c>
      <c r="C98">
        <v>170.2</v>
      </c>
      <c r="D98">
        <v>162.26</v>
      </c>
      <c r="E98">
        <v>163.77000000000001</v>
      </c>
      <c r="F98">
        <v>148.13</v>
      </c>
      <c r="G98">
        <v>456055100</v>
      </c>
      <c r="H98" t="str">
        <f t="shared" ref="H98:H129" si="5">IF(ISNUMBER(SEARCH("Dividend",B98)),"Yes","No")</f>
        <v>No</v>
      </c>
      <c r="I98" s="3">
        <f t="shared" si="4"/>
        <v>6.1128846023228434E-3</v>
      </c>
    </row>
    <row r="99" spans="1:9" x14ac:dyDescent="0.3">
      <c r="A99" s="1">
        <v>43282</v>
      </c>
      <c r="B99">
        <v>162.76</v>
      </c>
      <c r="C99">
        <v>169.87</v>
      </c>
      <c r="D99">
        <v>162.47999999999999</v>
      </c>
      <c r="E99">
        <v>165.87</v>
      </c>
      <c r="F99">
        <v>150.03</v>
      </c>
      <c r="G99">
        <v>401158500</v>
      </c>
      <c r="H99" t="str">
        <f t="shared" si="5"/>
        <v>No</v>
      </c>
      <c r="I99" s="3">
        <f t="shared" si="4"/>
        <v>1.282657125497888E-2</v>
      </c>
    </row>
    <row r="100" spans="1:9" x14ac:dyDescent="0.3">
      <c r="A100" s="1">
        <v>43313</v>
      </c>
      <c r="B100">
        <v>165.7</v>
      </c>
      <c r="C100">
        <v>173.39</v>
      </c>
      <c r="D100">
        <v>164.5</v>
      </c>
      <c r="E100">
        <v>173.02</v>
      </c>
      <c r="F100">
        <v>157.07</v>
      </c>
      <c r="G100">
        <v>372351500</v>
      </c>
      <c r="H100" t="str">
        <f t="shared" si="5"/>
        <v>No</v>
      </c>
      <c r="I100" s="3">
        <f t="shared" si="4"/>
        <v>4.6923948543624583E-2</v>
      </c>
    </row>
    <row r="101" spans="1:9" x14ac:dyDescent="0.3">
      <c r="A101" s="1">
        <v>43344</v>
      </c>
      <c r="B101">
        <v>172.79</v>
      </c>
      <c r="C101">
        <v>173.12</v>
      </c>
      <c r="D101">
        <v>167.45</v>
      </c>
      <c r="E101">
        <v>168.55</v>
      </c>
      <c r="F101">
        <v>153.01</v>
      </c>
      <c r="G101">
        <v>328645500</v>
      </c>
      <c r="H101" t="str">
        <f t="shared" si="5"/>
        <v>No</v>
      </c>
      <c r="I101" s="3">
        <f t="shared" si="4"/>
        <v>-2.5848347870376265E-2</v>
      </c>
    </row>
    <row r="102" spans="1:9" x14ac:dyDescent="0.3">
      <c r="A102" s="1">
        <v>43374</v>
      </c>
      <c r="B102">
        <v>169.29</v>
      </c>
      <c r="C102">
        <v>169.32</v>
      </c>
      <c r="D102">
        <v>144.69999999999999</v>
      </c>
      <c r="E102">
        <v>150.03</v>
      </c>
      <c r="F102">
        <v>136.56</v>
      </c>
      <c r="G102">
        <v>786010400</v>
      </c>
      <c r="H102" t="str">
        <f t="shared" si="5"/>
        <v>No</v>
      </c>
      <c r="I102" s="3">
        <f t="shared" si="4"/>
        <v>-0.10750931311678968</v>
      </c>
    </row>
    <row r="103" spans="1:9" x14ac:dyDescent="0.3">
      <c r="A103" s="1">
        <v>43405</v>
      </c>
      <c r="B103">
        <v>150.88999999999999</v>
      </c>
      <c r="C103">
        <v>157.9</v>
      </c>
      <c r="D103">
        <v>145.59</v>
      </c>
      <c r="E103">
        <v>152.62</v>
      </c>
      <c r="F103">
        <v>138.91</v>
      </c>
      <c r="G103">
        <v>432019900</v>
      </c>
      <c r="H103" t="str">
        <f t="shared" si="5"/>
        <v>No</v>
      </c>
      <c r="I103" s="3">
        <f t="shared" si="4"/>
        <v>1.7208553016988759E-2</v>
      </c>
    </row>
    <row r="104" spans="1:9" x14ac:dyDescent="0.3">
      <c r="A104" s="1">
        <v>43435</v>
      </c>
      <c r="B104">
        <v>154.38999999999999</v>
      </c>
      <c r="C104">
        <v>154.47999999999999</v>
      </c>
      <c r="D104">
        <v>125.81</v>
      </c>
      <c r="E104">
        <v>133.9</v>
      </c>
      <c r="F104">
        <v>121.88</v>
      </c>
      <c r="G104">
        <v>682896600</v>
      </c>
      <c r="H104" t="str">
        <f t="shared" si="5"/>
        <v>No</v>
      </c>
      <c r="I104" s="3">
        <f t="shared" si="4"/>
        <v>-0.12259736520048958</v>
      </c>
    </row>
    <row r="105" spans="1:9" x14ac:dyDescent="0.3">
      <c r="A105" s="1">
        <v>43466</v>
      </c>
      <c r="B105">
        <v>132.16999999999999</v>
      </c>
      <c r="C105">
        <v>149.30000000000001</v>
      </c>
      <c r="D105">
        <v>131.54</v>
      </c>
      <c r="E105">
        <v>149.06</v>
      </c>
      <c r="F105">
        <v>136.13</v>
      </c>
      <c r="G105">
        <v>519349800</v>
      </c>
      <c r="H105" t="str">
        <f t="shared" si="5"/>
        <v>No</v>
      </c>
      <c r="I105" s="3">
        <f t="shared" si="4"/>
        <v>0.11691828027568096</v>
      </c>
    </row>
    <row r="106" spans="1:9" x14ac:dyDescent="0.3">
      <c r="A106" s="1">
        <v>43497</v>
      </c>
      <c r="B106">
        <v>149.35</v>
      </c>
      <c r="C106">
        <v>159.5</v>
      </c>
      <c r="D106">
        <v>148.38999999999999</v>
      </c>
      <c r="E106">
        <v>156.78</v>
      </c>
      <c r="F106">
        <v>143.18</v>
      </c>
      <c r="G106">
        <v>352758000</v>
      </c>
      <c r="H106" t="str">
        <f t="shared" si="5"/>
        <v>No</v>
      </c>
      <c r="I106" s="3">
        <f t="shared" si="4"/>
        <v>5.1788731359729834E-2</v>
      </c>
    </row>
    <row r="107" spans="1:9" x14ac:dyDescent="0.3">
      <c r="A107" s="1">
        <v>43525</v>
      </c>
      <c r="B107">
        <v>157.94999999999999</v>
      </c>
      <c r="C107">
        <v>158.78</v>
      </c>
      <c r="D107">
        <v>148.41</v>
      </c>
      <c r="E107">
        <v>153.09</v>
      </c>
      <c r="F107">
        <v>139.81</v>
      </c>
      <c r="G107">
        <v>500541900</v>
      </c>
      <c r="H107" t="str">
        <f t="shared" si="5"/>
        <v>No</v>
      </c>
      <c r="I107" s="3">
        <f t="shared" si="4"/>
        <v>-2.3536806816594535E-2</v>
      </c>
    </row>
    <row r="108" spans="1:9" x14ac:dyDescent="0.3">
      <c r="A108" s="1">
        <v>43556</v>
      </c>
      <c r="B108">
        <v>154.29</v>
      </c>
      <c r="C108">
        <v>159.61000000000001</v>
      </c>
      <c r="D108">
        <v>153.51</v>
      </c>
      <c r="E108">
        <v>158.29</v>
      </c>
      <c r="F108">
        <v>144.94</v>
      </c>
      <c r="G108">
        <v>372554600</v>
      </c>
      <c r="H108" t="str">
        <f t="shared" si="5"/>
        <v>No</v>
      </c>
      <c r="I108" s="3">
        <f t="shared" si="4"/>
        <v>3.6692654316572426E-2</v>
      </c>
    </row>
    <row r="109" spans="1:9" x14ac:dyDescent="0.3">
      <c r="A109" s="1">
        <v>43586</v>
      </c>
      <c r="B109">
        <v>158.66999999999999</v>
      </c>
      <c r="C109">
        <v>161.11000000000001</v>
      </c>
      <c r="D109">
        <v>145.32</v>
      </c>
      <c r="E109">
        <v>145.86000000000001</v>
      </c>
      <c r="F109">
        <v>133.56</v>
      </c>
      <c r="G109">
        <v>437975000</v>
      </c>
      <c r="H109" t="str">
        <f t="shared" si="5"/>
        <v>No</v>
      </c>
      <c r="I109" s="3">
        <f t="shared" si="4"/>
        <v>-7.8515247688698775E-2</v>
      </c>
    </row>
    <row r="110" spans="1:9" x14ac:dyDescent="0.3">
      <c r="A110" s="1">
        <v>43617</v>
      </c>
      <c r="B110">
        <v>146.13</v>
      </c>
      <c r="C110">
        <v>156.22</v>
      </c>
      <c r="D110">
        <v>145.33000000000001</v>
      </c>
      <c r="E110">
        <v>155.5</v>
      </c>
      <c r="F110">
        <v>142.38999999999999</v>
      </c>
      <c r="G110">
        <v>383318500</v>
      </c>
      <c r="H110" t="str">
        <f t="shared" si="5"/>
        <v>No</v>
      </c>
      <c r="I110" s="3">
        <f t="shared" si="4"/>
        <v>6.6112608565438657E-2</v>
      </c>
    </row>
    <row r="111" spans="1:9" x14ac:dyDescent="0.3">
      <c r="A111" s="1">
        <v>43647</v>
      </c>
      <c r="B111">
        <v>157.54</v>
      </c>
      <c r="C111">
        <v>159.22999999999999</v>
      </c>
      <c r="D111">
        <v>153.4</v>
      </c>
      <c r="E111">
        <v>156.56</v>
      </c>
      <c r="F111">
        <v>143.86000000000001</v>
      </c>
      <c r="G111">
        <v>349511600</v>
      </c>
      <c r="H111" t="str">
        <f t="shared" si="5"/>
        <v>No</v>
      </c>
      <c r="I111" s="3">
        <f t="shared" si="4"/>
        <v>1.0323758690919504E-2</v>
      </c>
    </row>
    <row r="112" spans="1:9" x14ac:dyDescent="0.3">
      <c r="A112" s="1">
        <v>43678</v>
      </c>
      <c r="B112">
        <v>156.88</v>
      </c>
      <c r="C112">
        <v>158.16999999999999</v>
      </c>
      <c r="D112">
        <v>144.25</v>
      </c>
      <c r="E112">
        <v>148.84</v>
      </c>
      <c r="F112">
        <v>136.77000000000001</v>
      </c>
      <c r="G112">
        <v>502590900</v>
      </c>
      <c r="H112" t="str">
        <f t="shared" si="5"/>
        <v>No</v>
      </c>
      <c r="I112" s="3">
        <f t="shared" si="4"/>
        <v>-4.9284026136521608E-2</v>
      </c>
    </row>
    <row r="113" spans="1:9" x14ac:dyDescent="0.3">
      <c r="A113" s="1">
        <v>43709</v>
      </c>
      <c r="B113">
        <v>147.44999999999999</v>
      </c>
      <c r="C113">
        <v>158.91999999999999</v>
      </c>
      <c r="D113">
        <v>146</v>
      </c>
      <c r="E113">
        <v>151.34</v>
      </c>
      <c r="F113">
        <v>139.07</v>
      </c>
      <c r="G113">
        <v>474497500</v>
      </c>
      <c r="H113" t="str">
        <f t="shared" si="5"/>
        <v>No</v>
      </c>
      <c r="I113" s="3">
        <f t="shared" si="4"/>
        <v>1.681655333772003E-2</v>
      </c>
    </row>
    <row r="114" spans="1:9" x14ac:dyDescent="0.3">
      <c r="A114" s="1">
        <v>43739</v>
      </c>
      <c r="B114">
        <v>152.11000000000001</v>
      </c>
      <c r="C114">
        <v>157.34</v>
      </c>
      <c r="D114">
        <v>144.93</v>
      </c>
      <c r="E114">
        <v>155.44999999999999</v>
      </c>
      <c r="F114">
        <v>143.35</v>
      </c>
      <c r="G114">
        <v>379097800</v>
      </c>
      <c r="H114" t="str">
        <f t="shared" si="5"/>
        <v>No</v>
      </c>
      <c r="I114" s="3">
        <f t="shared" si="4"/>
        <v>3.0775868267778783E-2</v>
      </c>
    </row>
    <row r="115" spans="1:9" x14ac:dyDescent="0.3">
      <c r="A115" s="1">
        <v>43770</v>
      </c>
      <c r="B115">
        <v>156.4</v>
      </c>
      <c r="C115">
        <v>162.93</v>
      </c>
      <c r="D115">
        <v>156.05000000000001</v>
      </c>
      <c r="E115">
        <v>161.77000000000001</v>
      </c>
      <c r="F115">
        <v>149.16999999999999</v>
      </c>
      <c r="G115">
        <v>294907400</v>
      </c>
      <c r="H115" t="str">
        <f t="shared" si="5"/>
        <v>No</v>
      </c>
      <c r="I115" s="3">
        <f t="shared" si="4"/>
        <v>4.0599930240669657E-2</v>
      </c>
    </row>
    <row r="116" spans="1:9" x14ac:dyDescent="0.3">
      <c r="A116" s="1">
        <v>43800</v>
      </c>
      <c r="B116">
        <v>162.15</v>
      </c>
      <c r="C116">
        <v>167.12</v>
      </c>
      <c r="D116">
        <v>158.1</v>
      </c>
      <c r="E116">
        <v>165.67</v>
      </c>
      <c r="F116">
        <v>152.77000000000001</v>
      </c>
      <c r="G116">
        <v>323253900</v>
      </c>
      <c r="H116" t="str">
        <f t="shared" si="5"/>
        <v>No</v>
      </c>
      <c r="I116" s="3">
        <f t="shared" si="4"/>
        <v>2.4133538915331654E-2</v>
      </c>
    </row>
    <row r="117" spans="1:9" x14ac:dyDescent="0.3">
      <c r="A117" s="1">
        <v>43831</v>
      </c>
      <c r="B117">
        <v>166.74</v>
      </c>
      <c r="C117">
        <v>170.56</v>
      </c>
      <c r="D117">
        <v>160.03</v>
      </c>
      <c r="E117">
        <v>160.53</v>
      </c>
      <c r="F117">
        <v>148.57</v>
      </c>
      <c r="G117">
        <v>368756200</v>
      </c>
      <c r="H117" t="str">
        <f t="shared" si="5"/>
        <v>No</v>
      </c>
      <c r="I117" s="3">
        <f t="shared" si="4"/>
        <v>-2.7492308699352042E-2</v>
      </c>
    </row>
    <row r="118" spans="1:9" x14ac:dyDescent="0.3">
      <c r="A118" s="1">
        <v>43862</v>
      </c>
      <c r="B118">
        <v>161.6</v>
      </c>
      <c r="C118">
        <v>169.14</v>
      </c>
      <c r="D118">
        <v>143.91</v>
      </c>
      <c r="E118">
        <v>146.33000000000001</v>
      </c>
      <c r="F118">
        <v>135.43</v>
      </c>
      <c r="G118">
        <v>450114400</v>
      </c>
      <c r="H118" t="str">
        <f t="shared" si="5"/>
        <v>No</v>
      </c>
      <c r="I118" s="3">
        <f t="shared" si="4"/>
        <v>-8.8443158107289421E-2</v>
      </c>
    </row>
    <row r="119" spans="1:9" x14ac:dyDescent="0.3">
      <c r="A119" s="1">
        <v>43891</v>
      </c>
      <c r="B119">
        <v>147.97</v>
      </c>
      <c r="C119">
        <v>154.19999999999999</v>
      </c>
      <c r="D119">
        <v>95.69</v>
      </c>
      <c r="E119">
        <v>114.46</v>
      </c>
      <c r="F119">
        <v>105.94</v>
      </c>
      <c r="G119">
        <v>1173910900</v>
      </c>
      <c r="H119" t="str">
        <f t="shared" si="5"/>
        <v>No</v>
      </c>
      <c r="I119" s="3">
        <f t="shared" si="4"/>
        <v>-0.21775086760688189</v>
      </c>
    </row>
    <row r="120" spans="1:9" x14ac:dyDescent="0.3">
      <c r="A120" s="1">
        <v>43922</v>
      </c>
      <c r="B120">
        <v>108.7</v>
      </c>
      <c r="C120">
        <v>136.85</v>
      </c>
      <c r="D120">
        <v>102.6</v>
      </c>
      <c r="E120">
        <v>130.31</v>
      </c>
      <c r="F120">
        <v>121.07</v>
      </c>
      <c r="G120">
        <v>913435900</v>
      </c>
      <c r="H120" t="str">
        <f t="shared" si="5"/>
        <v>No</v>
      </c>
      <c r="I120" s="3">
        <f t="shared" si="4"/>
        <v>0.14281668869171216</v>
      </c>
    </row>
    <row r="121" spans="1:9" x14ac:dyDescent="0.3">
      <c r="A121" s="1">
        <v>43952</v>
      </c>
      <c r="B121">
        <v>127.15</v>
      </c>
      <c r="C121">
        <v>144.74</v>
      </c>
      <c r="D121">
        <v>117.18</v>
      </c>
      <c r="E121">
        <v>138.9</v>
      </c>
      <c r="F121">
        <v>129.05000000000001</v>
      </c>
      <c r="G121">
        <v>758829500</v>
      </c>
      <c r="H121" t="str">
        <f t="shared" si="5"/>
        <v>No</v>
      </c>
      <c r="I121" s="3">
        <f t="shared" si="4"/>
        <v>6.591228215082201E-2</v>
      </c>
    </row>
    <row r="122" spans="1:9" x14ac:dyDescent="0.3">
      <c r="A122" s="1">
        <v>43983</v>
      </c>
      <c r="B122">
        <v>139.26</v>
      </c>
      <c r="C122">
        <v>153.38999999999999</v>
      </c>
      <c r="D122">
        <v>133.28</v>
      </c>
      <c r="E122">
        <v>143.18</v>
      </c>
      <c r="F122">
        <v>133.03</v>
      </c>
      <c r="G122">
        <v>883734300</v>
      </c>
      <c r="H122" t="str">
        <f t="shared" si="5"/>
        <v>No</v>
      </c>
      <c r="I122" s="3">
        <f t="shared" si="4"/>
        <v>3.0840759395583062E-2</v>
      </c>
    </row>
    <row r="123" spans="1:9" x14ac:dyDescent="0.3">
      <c r="A123" s="1">
        <v>44013</v>
      </c>
      <c r="B123">
        <v>143.65</v>
      </c>
      <c r="C123">
        <v>150.19999999999999</v>
      </c>
      <c r="D123">
        <v>137.24</v>
      </c>
      <c r="E123">
        <v>147.36000000000001</v>
      </c>
      <c r="F123">
        <v>137.38</v>
      </c>
      <c r="G123">
        <v>543624300</v>
      </c>
      <c r="H123" t="str">
        <f t="shared" si="5"/>
        <v>No</v>
      </c>
      <c r="I123" s="3">
        <f t="shared" si="4"/>
        <v>3.2699391114786147E-2</v>
      </c>
    </row>
    <row r="124" spans="1:9" x14ac:dyDescent="0.3">
      <c r="A124" s="1">
        <v>44044</v>
      </c>
      <c r="B124">
        <v>148.29</v>
      </c>
      <c r="C124">
        <v>159.82</v>
      </c>
      <c r="D124">
        <v>147.22</v>
      </c>
      <c r="E124">
        <v>155.43</v>
      </c>
      <c r="F124">
        <v>144.9</v>
      </c>
      <c r="G124">
        <v>370395000</v>
      </c>
      <c r="H124" t="str">
        <f t="shared" si="5"/>
        <v>No</v>
      </c>
      <c r="I124" s="3">
        <f t="shared" si="4"/>
        <v>5.4738681030717773E-2</v>
      </c>
    </row>
    <row r="125" spans="1:9" x14ac:dyDescent="0.3">
      <c r="A125" s="1">
        <v>44075</v>
      </c>
      <c r="B125">
        <v>155.22</v>
      </c>
      <c r="C125">
        <v>158.97999999999999</v>
      </c>
      <c r="D125">
        <v>142.09</v>
      </c>
      <c r="E125">
        <v>149.79</v>
      </c>
      <c r="F125">
        <v>139.63999999999999</v>
      </c>
      <c r="G125">
        <v>515517700</v>
      </c>
      <c r="H125" t="str">
        <f t="shared" si="5"/>
        <v>No</v>
      </c>
      <c r="I125" s="3">
        <f t="shared" si="4"/>
        <v>-3.6300897170462476E-2</v>
      </c>
    </row>
    <row r="126" spans="1:9" x14ac:dyDescent="0.3">
      <c r="A126" s="1">
        <v>44105</v>
      </c>
      <c r="B126">
        <v>150.81</v>
      </c>
      <c r="C126">
        <v>164.24</v>
      </c>
      <c r="D126">
        <v>148.99</v>
      </c>
      <c r="E126">
        <v>153.09</v>
      </c>
      <c r="F126">
        <v>143.26</v>
      </c>
      <c r="G126">
        <v>534258000</v>
      </c>
      <c r="H126" t="str">
        <f t="shared" si="5"/>
        <v>No</v>
      </c>
      <c r="I126" s="3">
        <f t="shared" si="4"/>
        <v>2.5923804067602418E-2</v>
      </c>
    </row>
    <row r="127" spans="1:9" x14ac:dyDescent="0.3">
      <c r="A127" s="1">
        <v>44136</v>
      </c>
      <c r="B127">
        <v>154.77000000000001</v>
      </c>
      <c r="C127">
        <v>185.44</v>
      </c>
      <c r="D127">
        <v>153.66999999999999</v>
      </c>
      <c r="E127">
        <v>181.02</v>
      </c>
      <c r="F127">
        <v>169.4</v>
      </c>
      <c r="G127">
        <v>575663000</v>
      </c>
      <c r="H127" t="str">
        <f t="shared" si="5"/>
        <v>No</v>
      </c>
      <c r="I127" s="3">
        <f t="shared" si="4"/>
        <v>0.18246544743822435</v>
      </c>
    </row>
    <row r="128" spans="1:9" x14ac:dyDescent="0.3">
      <c r="A128" s="1">
        <v>44166</v>
      </c>
      <c r="B128">
        <v>183.6</v>
      </c>
      <c r="C128">
        <v>201.18</v>
      </c>
      <c r="D128">
        <v>180.76</v>
      </c>
      <c r="E128">
        <v>196.06</v>
      </c>
      <c r="F128">
        <v>183.47</v>
      </c>
      <c r="G128">
        <v>542791700</v>
      </c>
      <c r="H128" t="str">
        <f t="shared" si="5"/>
        <v>No</v>
      </c>
      <c r="I128" s="3">
        <f t="shared" si="4"/>
        <v>8.3057851239669356E-2</v>
      </c>
    </row>
    <row r="129" spans="1:9" x14ac:dyDescent="0.3">
      <c r="A129" s="1">
        <v>44197</v>
      </c>
      <c r="B129">
        <v>197.54</v>
      </c>
      <c r="C129">
        <v>217.91</v>
      </c>
      <c r="D129">
        <v>190.94</v>
      </c>
      <c r="E129">
        <v>205.56</v>
      </c>
      <c r="F129">
        <v>192.96</v>
      </c>
      <c r="G129">
        <v>578463100</v>
      </c>
      <c r="H129" t="str">
        <f t="shared" si="5"/>
        <v>No</v>
      </c>
      <c r="I129" s="3">
        <f t="shared" si="4"/>
        <v>5.1725077669373842E-2</v>
      </c>
    </row>
    <row r="130" spans="1:9" x14ac:dyDescent="0.3">
      <c r="A130" s="1">
        <v>44228</v>
      </c>
      <c r="B130">
        <v>208.17</v>
      </c>
      <c r="C130">
        <v>230.32</v>
      </c>
      <c r="D130">
        <v>205.76</v>
      </c>
      <c r="E130">
        <v>218.31</v>
      </c>
      <c r="F130">
        <v>204.93</v>
      </c>
      <c r="G130">
        <v>524377500</v>
      </c>
      <c r="H130" t="str">
        <f t="shared" ref="H130:H161" si="6">IF(ISNUMBER(SEARCH("Dividend",B130)),"Yes","No")</f>
        <v>No</v>
      </c>
      <c r="I130" s="3">
        <f t="shared" si="4"/>
        <v>6.2033582089552119E-2</v>
      </c>
    </row>
    <row r="131" spans="1:9" x14ac:dyDescent="0.3">
      <c r="A131" s="1">
        <v>44256</v>
      </c>
      <c r="B131">
        <v>223.48</v>
      </c>
      <c r="C131">
        <v>234.53</v>
      </c>
      <c r="D131">
        <v>207.21</v>
      </c>
      <c r="E131">
        <v>220.94</v>
      </c>
      <c r="F131">
        <v>207.4</v>
      </c>
      <c r="G131">
        <v>829391300</v>
      </c>
      <c r="H131" t="str">
        <f t="shared" si="6"/>
        <v>No</v>
      </c>
      <c r="I131" s="3">
        <f t="shared" si="4"/>
        <v>1.2052896110867017E-2</v>
      </c>
    </row>
    <row r="132" spans="1:9" x14ac:dyDescent="0.3">
      <c r="A132" s="1">
        <v>44287</v>
      </c>
      <c r="B132">
        <v>222.4</v>
      </c>
      <c r="C132">
        <v>230.95</v>
      </c>
      <c r="D132">
        <v>215.24</v>
      </c>
      <c r="E132">
        <v>224.89</v>
      </c>
      <c r="F132">
        <v>211.5</v>
      </c>
      <c r="G132">
        <v>532452700</v>
      </c>
      <c r="H132" t="str">
        <f t="shared" si="6"/>
        <v>No</v>
      </c>
      <c r="I132" s="3">
        <f t="shared" ref="I132:I195" si="7">(F132/F131)-1</f>
        <v>1.9768563162970043E-2</v>
      </c>
    </row>
    <row r="133" spans="1:9" x14ac:dyDescent="0.3">
      <c r="A133" s="1">
        <v>44317</v>
      </c>
      <c r="B133">
        <v>227.21</v>
      </c>
      <c r="C133">
        <v>227.41</v>
      </c>
      <c r="D133">
        <v>211.54</v>
      </c>
      <c r="E133">
        <v>225.5</v>
      </c>
      <c r="F133">
        <v>212.08</v>
      </c>
      <c r="G133">
        <v>523181600</v>
      </c>
      <c r="H133" t="str">
        <f t="shared" si="6"/>
        <v>No</v>
      </c>
      <c r="I133" s="3">
        <f t="shared" si="7"/>
        <v>2.7423167848701357E-3</v>
      </c>
    </row>
    <row r="134" spans="1:9" x14ac:dyDescent="0.3">
      <c r="A134" s="1">
        <v>44348</v>
      </c>
      <c r="B134">
        <v>227.46</v>
      </c>
      <c r="C134">
        <v>233.64</v>
      </c>
      <c r="D134">
        <v>221.13</v>
      </c>
      <c r="E134">
        <v>229.37</v>
      </c>
      <c r="F134">
        <v>215.72</v>
      </c>
      <c r="G134">
        <v>555132400</v>
      </c>
      <c r="H134" t="str">
        <f t="shared" si="6"/>
        <v>No</v>
      </c>
      <c r="I134" s="3">
        <f t="shared" si="7"/>
        <v>1.7163334590720503E-2</v>
      </c>
    </row>
    <row r="135" spans="1:9" x14ac:dyDescent="0.3">
      <c r="A135" s="1">
        <v>44378</v>
      </c>
      <c r="B135">
        <v>230.81</v>
      </c>
      <c r="C135">
        <v>232.08</v>
      </c>
      <c r="D135">
        <v>209.05</v>
      </c>
      <c r="E135">
        <v>221.05</v>
      </c>
      <c r="F135">
        <v>208.21</v>
      </c>
      <c r="G135">
        <v>642158600</v>
      </c>
      <c r="H135" t="str">
        <f t="shared" si="6"/>
        <v>No</v>
      </c>
      <c r="I135" s="3">
        <f t="shared" si="7"/>
        <v>-3.4813647320600771E-2</v>
      </c>
    </row>
    <row r="136" spans="1:9" x14ac:dyDescent="0.3">
      <c r="A136" s="1">
        <v>44409</v>
      </c>
      <c r="B136">
        <v>222.47</v>
      </c>
      <c r="C136">
        <v>227.35</v>
      </c>
      <c r="D136">
        <v>210.68</v>
      </c>
      <c r="E136">
        <v>225.92</v>
      </c>
      <c r="F136">
        <v>212.79</v>
      </c>
      <c r="G136">
        <v>557780000</v>
      </c>
      <c r="H136" t="str">
        <f t="shared" si="6"/>
        <v>No</v>
      </c>
      <c r="I136" s="3">
        <f t="shared" si="7"/>
        <v>2.1997022237164376E-2</v>
      </c>
    </row>
    <row r="137" spans="1:9" x14ac:dyDescent="0.3">
      <c r="A137" s="1">
        <v>44440</v>
      </c>
      <c r="B137">
        <v>226.83</v>
      </c>
      <c r="C137">
        <v>229.84</v>
      </c>
      <c r="D137">
        <v>214.22</v>
      </c>
      <c r="E137">
        <v>218.75</v>
      </c>
      <c r="F137">
        <v>206.04</v>
      </c>
      <c r="G137">
        <v>602478200</v>
      </c>
      <c r="H137" t="str">
        <f t="shared" si="6"/>
        <v>No</v>
      </c>
      <c r="I137" s="3">
        <f t="shared" si="7"/>
        <v>-3.1721415480050807E-2</v>
      </c>
    </row>
    <row r="138" spans="1:9" x14ac:dyDescent="0.3">
      <c r="A138" s="1">
        <v>44470</v>
      </c>
      <c r="B138">
        <v>219.95</v>
      </c>
      <c r="C138">
        <v>230.72</v>
      </c>
      <c r="D138">
        <v>216.76</v>
      </c>
      <c r="E138">
        <v>228.05</v>
      </c>
      <c r="F138">
        <v>215.45</v>
      </c>
      <c r="G138">
        <v>460813100</v>
      </c>
      <c r="H138" t="str">
        <f t="shared" si="6"/>
        <v>No</v>
      </c>
      <c r="I138" s="3">
        <f t="shared" si="7"/>
        <v>4.5670743544942605E-2</v>
      </c>
    </row>
    <row r="139" spans="1:9" x14ac:dyDescent="0.3">
      <c r="A139" s="1">
        <v>44501</v>
      </c>
      <c r="B139">
        <v>229.25</v>
      </c>
      <c r="C139">
        <v>244.46</v>
      </c>
      <c r="D139">
        <v>215.88</v>
      </c>
      <c r="E139">
        <v>218.17</v>
      </c>
      <c r="F139">
        <v>206.12</v>
      </c>
      <c r="G139">
        <v>711806600</v>
      </c>
      <c r="H139" t="str">
        <f t="shared" si="6"/>
        <v>No</v>
      </c>
      <c r="I139" s="3">
        <f t="shared" si="7"/>
        <v>-4.3304711069853674E-2</v>
      </c>
    </row>
    <row r="140" spans="1:9" x14ac:dyDescent="0.3">
      <c r="A140" s="1">
        <v>44531</v>
      </c>
      <c r="B140">
        <v>223.17</v>
      </c>
      <c r="C140">
        <v>226.54</v>
      </c>
      <c r="D140">
        <v>208.76</v>
      </c>
      <c r="E140">
        <v>222.45</v>
      </c>
      <c r="F140">
        <v>210.16</v>
      </c>
      <c r="G140">
        <v>884839600</v>
      </c>
      <c r="H140" t="str">
        <f t="shared" si="6"/>
        <v>No</v>
      </c>
      <c r="I140" s="3">
        <f t="shared" si="7"/>
        <v>1.960023287405388E-2</v>
      </c>
    </row>
    <row r="141" spans="1:9" x14ac:dyDescent="0.3">
      <c r="A141" s="1">
        <v>44562</v>
      </c>
      <c r="B141">
        <v>223.71</v>
      </c>
      <c r="C141">
        <v>227.13</v>
      </c>
      <c r="D141">
        <v>188.09</v>
      </c>
      <c r="E141">
        <v>201.24</v>
      </c>
      <c r="F141">
        <v>190.7</v>
      </c>
      <c r="G141">
        <v>986052300</v>
      </c>
      <c r="H141" t="str">
        <f t="shared" si="6"/>
        <v>No</v>
      </c>
      <c r="I141" s="3">
        <f t="shared" si="7"/>
        <v>-9.2596117244004628E-2</v>
      </c>
    </row>
    <row r="142" spans="1:9" x14ac:dyDescent="0.3">
      <c r="A142" s="1">
        <v>44593</v>
      </c>
      <c r="B142">
        <v>201.66</v>
      </c>
      <c r="C142">
        <v>209.05</v>
      </c>
      <c r="D142">
        <v>187.92</v>
      </c>
      <c r="E142">
        <v>203.32</v>
      </c>
      <c r="F142">
        <v>192.67</v>
      </c>
      <c r="G142">
        <v>671148600</v>
      </c>
      <c r="H142" t="str">
        <f t="shared" si="6"/>
        <v>No</v>
      </c>
      <c r="I142" s="3">
        <f t="shared" si="7"/>
        <v>1.0330361824855805E-2</v>
      </c>
    </row>
    <row r="143" spans="1:9" x14ac:dyDescent="0.3">
      <c r="A143" s="1">
        <v>44621</v>
      </c>
      <c r="B143">
        <v>202.66</v>
      </c>
      <c r="C143">
        <v>212.25</v>
      </c>
      <c r="D143">
        <v>191.88</v>
      </c>
      <c r="E143">
        <v>205.27</v>
      </c>
      <c r="F143">
        <v>194.52</v>
      </c>
      <c r="G143">
        <v>664250800</v>
      </c>
      <c r="H143" t="str">
        <f t="shared" si="6"/>
        <v>No</v>
      </c>
      <c r="I143" s="3">
        <f t="shared" si="7"/>
        <v>9.6019100015571901E-3</v>
      </c>
    </row>
    <row r="144" spans="1:9" x14ac:dyDescent="0.3">
      <c r="A144" s="1">
        <v>44652</v>
      </c>
      <c r="B144">
        <v>206.18</v>
      </c>
      <c r="C144">
        <v>209.44</v>
      </c>
      <c r="D144">
        <v>184.51</v>
      </c>
      <c r="E144">
        <v>184.95</v>
      </c>
      <c r="F144">
        <v>175.61</v>
      </c>
      <c r="G144">
        <v>604310200</v>
      </c>
      <c r="H144" t="str">
        <f t="shared" si="6"/>
        <v>No</v>
      </c>
      <c r="I144" s="3">
        <f t="shared" si="7"/>
        <v>-9.721365412296934E-2</v>
      </c>
    </row>
    <row r="145" spans="1:9" x14ac:dyDescent="0.3">
      <c r="A145" s="1">
        <v>44682</v>
      </c>
      <c r="B145">
        <v>184.9</v>
      </c>
      <c r="C145">
        <v>193.93</v>
      </c>
      <c r="D145">
        <v>168.9</v>
      </c>
      <c r="E145">
        <v>185.31</v>
      </c>
      <c r="F145">
        <v>175.95</v>
      </c>
      <c r="G145">
        <v>787134600</v>
      </c>
      <c r="H145" t="str">
        <f t="shared" si="6"/>
        <v>No</v>
      </c>
      <c r="I145" s="3">
        <f t="shared" si="7"/>
        <v>1.9361084220714808E-3</v>
      </c>
    </row>
    <row r="146" spans="1:9" x14ac:dyDescent="0.3">
      <c r="A146" s="1">
        <v>44713</v>
      </c>
      <c r="B146">
        <v>186.27</v>
      </c>
      <c r="C146">
        <v>190.94</v>
      </c>
      <c r="D146">
        <v>162.78</v>
      </c>
      <c r="E146">
        <v>169.36</v>
      </c>
      <c r="F146">
        <v>160.80000000000001</v>
      </c>
      <c r="G146">
        <v>616807100</v>
      </c>
      <c r="H146" t="str">
        <f t="shared" si="6"/>
        <v>No</v>
      </c>
      <c r="I146" s="3">
        <f t="shared" si="7"/>
        <v>-8.6104006820119205E-2</v>
      </c>
    </row>
    <row r="147" spans="1:9" x14ac:dyDescent="0.3">
      <c r="A147" s="1">
        <v>44743</v>
      </c>
      <c r="B147">
        <v>169.05</v>
      </c>
      <c r="C147">
        <v>187.73</v>
      </c>
      <c r="D147">
        <v>166.73</v>
      </c>
      <c r="E147">
        <v>187.25</v>
      </c>
      <c r="F147">
        <v>178.26</v>
      </c>
      <c r="G147">
        <v>477355800</v>
      </c>
      <c r="H147" t="str">
        <f t="shared" si="6"/>
        <v>No</v>
      </c>
      <c r="I147" s="3">
        <f t="shared" si="7"/>
        <v>0.10858208955223869</v>
      </c>
    </row>
    <row r="148" spans="1:9" x14ac:dyDescent="0.3">
      <c r="A148" s="1">
        <v>44774</v>
      </c>
      <c r="B148">
        <v>185.79</v>
      </c>
      <c r="C148">
        <v>201.99</v>
      </c>
      <c r="D148">
        <v>183.19</v>
      </c>
      <c r="E148">
        <v>183.5</v>
      </c>
      <c r="F148">
        <v>174.69</v>
      </c>
      <c r="G148">
        <v>467814100</v>
      </c>
      <c r="H148" t="str">
        <f t="shared" si="6"/>
        <v>No</v>
      </c>
      <c r="I148" s="3">
        <f t="shared" si="7"/>
        <v>-2.0026926960619251E-2</v>
      </c>
    </row>
    <row r="149" spans="1:9" x14ac:dyDescent="0.3">
      <c r="A149" s="1">
        <v>44805</v>
      </c>
      <c r="B149">
        <v>181.78</v>
      </c>
      <c r="C149">
        <v>189.86</v>
      </c>
      <c r="D149">
        <v>163.28</v>
      </c>
      <c r="E149">
        <v>164.92</v>
      </c>
      <c r="F149">
        <v>157</v>
      </c>
      <c r="G149">
        <v>635488300</v>
      </c>
      <c r="H149" t="str">
        <f t="shared" si="6"/>
        <v>No</v>
      </c>
      <c r="I149" s="3">
        <f t="shared" si="7"/>
        <v>-0.10126509817390805</v>
      </c>
    </row>
    <row r="150" spans="1:9" x14ac:dyDescent="0.3">
      <c r="A150" s="1">
        <v>44835</v>
      </c>
      <c r="B150">
        <v>167.34</v>
      </c>
      <c r="C150">
        <v>184.24</v>
      </c>
      <c r="D150">
        <v>162.5</v>
      </c>
      <c r="E150">
        <v>183.33</v>
      </c>
      <c r="F150">
        <v>175.43</v>
      </c>
      <c r="G150">
        <v>645809900</v>
      </c>
      <c r="H150" t="str">
        <f t="shared" si="6"/>
        <v>No</v>
      </c>
      <c r="I150" s="3">
        <f t="shared" si="7"/>
        <v>0.1173885350318471</v>
      </c>
    </row>
    <row r="151" spans="1:9" x14ac:dyDescent="0.3">
      <c r="A151" s="1">
        <v>44866</v>
      </c>
      <c r="B151">
        <v>185.24</v>
      </c>
      <c r="C151">
        <v>189.56</v>
      </c>
      <c r="D151">
        <v>174.11</v>
      </c>
      <c r="E151">
        <v>187.37</v>
      </c>
      <c r="F151">
        <v>179.3</v>
      </c>
      <c r="G151">
        <v>510204500</v>
      </c>
      <c r="H151" t="str">
        <f t="shared" si="6"/>
        <v>No</v>
      </c>
      <c r="I151" s="3">
        <f t="shared" si="7"/>
        <v>2.2060080943966387E-2</v>
      </c>
    </row>
    <row r="152" spans="1:9" x14ac:dyDescent="0.3">
      <c r="A152" s="1">
        <v>44896</v>
      </c>
      <c r="B152">
        <v>188.15</v>
      </c>
      <c r="C152">
        <v>189.24</v>
      </c>
      <c r="D152">
        <v>170.34</v>
      </c>
      <c r="E152">
        <v>174.36</v>
      </c>
      <c r="F152">
        <v>166.85</v>
      </c>
      <c r="G152">
        <v>490781000</v>
      </c>
      <c r="H152" t="str">
        <f t="shared" si="6"/>
        <v>No</v>
      </c>
      <c r="I152" s="3">
        <f t="shared" si="7"/>
        <v>-6.9436698271054142E-2</v>
      </c>
    </row>
    <row r="153" spans="1:9" x14ac:dyDescent="0.3">
      <c r="A153" s="1">
        <v>44927</v>
      </c>
      <c r="B153">
        <v>175.93</v>
      </c>
      <c r="C153">
        <v>191.58</v>
      </c>
      <c r="D153">
        <v>171.9</v>
      </c>
      <c r="E153">
        <v>191.48</v>
      </c>
      <c r="F153">
        <v>184.07</v>
      </c>
      <c r="G153">
        <v>434353100</v>
      </c>
      <c r="H153" t="str">
        <f t="shared" si="6"/>
        <v>No</v>
      </c>
      <c r="I153" s="3">
        <f t="shared" si="7"/>
        <v>0.10320647287983209</v>
      </c>
    </row>
    <row r="154" spans="1:9" x14ac:dyDescent="0.3">
      <c r="A154" s="1">
        <v>44958</v>
      </c>
      <c r="B154">
        <v>191.19</v>
      </c>
      <c r="C154">
        <v>199.26</v>
      </c>
      <c r="D154">
        <v>185.78</v>
      </c>
      <c r="E154">
        <v>188.18</v>
      </c>
      <c r="F154">
        <v>180.9</v>
      </c>
      <c r="G154">
        <v>416919500</v>
      </c>
      <c r="H154" t="str">
        <f t="shared" si="6"/>
        <v>No</v>
      </c>
      <c r="I154" s="3">
        <f t="shared" si="7"/>
        <v>-1.722170913239518E-2</v>
      </c>
    </row>
    <row r="155" spans="1:9" x14ac:dyDescent="0.3">
      <c r="A155" s="1">
        <v>44986</v>
      </c>
      <c r="B155">
        <v>188.19</v>
      </c>
      <c r="C155">
        <v>191.93</v>
      </c>
      <c r="D155">
        <v>167.46</v>
      </c>
      <c r="E155">
        <v>178.4</v>
      </c>
      <c r="F155">
        <v>171.5</v>
      </c>
      <c r="G155">
        <v>924266500</v>
      </c>
      <c r="H155" t="str">
        <f t="shared" si="6"/>
        <v>No</v>
      </c>
      <c r="I155" s="3">
        <f t="shared" si="7"/>
        <v>-5.1962410171365381E-2</v>
      </c>
    </row>
    <row r="156" spans="1:9" x14ac:dyDescent="0.3">
      <c r="A156" s="1">
        <v>45017</v>
      </c>
      <c r="B156">
        <v>178.95</v>
      </c>
      <c r="C156">
        <v>179.78</v>
      </c>
      <c r="D156">
        <v>170.94</v>
      </c>
      <c r="E156">
        <v>175.2</v>
      </c>
      <c r="F156">
        <v>169.05</v>
      </c>
      <c r="G156">
        <v>492653200</v>
      </c>
      <c r="H156" t="str">
        <f t="shared" si="6"/>
        <v>No</v>
      </c>
      <c r="I156" s="3">
        <f t="shared" si="7"/>
        <v>-1.4285714285714235E-2</v>
      </c>
    </row>
    <row r="157" spans="1:9" x14ac:dyDescent="0.3">
      <c r="A157" s="1">
        <v>45047</v>
      </c>
      <c r="B157">
        <v>175</v>
      </c>
      <c r="C157">
        <v>180.53</v>
      </c>
      <c r="D157">
        <v>168.78</v>
      </c>
      <c r="E157">
        <v>173.77</v>
      </c>
      <c r="F157">
        <v>167.67</v>
      </c>
      <c r="G157">
        <v>673912800</v>
      </c>
      <c r="H157" t="str">
        <f t="shared" si="6"/>
        <v>No</v>
      </c>
      <c r="I157" s="3">
        <f t="shared" si="7"/>
        <v>-8.1632653061225469E-3</v>
      </c>
    </row>
    <row r="158" spans="1:9" x14ac:dyDescent="0.3">
      <c r="A158" s="1">
        <v>45078</v>
      </c>
      <c r="B158">
        <v>173.86</v>
      </c>
      <c r="C158">
        <v>189.24</v>
      </c>
      <c r="D158">
        <v>172.93</v>
      </c>
      <c r="E158">
        <v>187.27</v>
      </c>
      <c r="F158">
        <v>180.69</v>
      </c>
      <c r="G158">
        <v>770361100</v>
      </c>
      <c r="H158" t="str">
        <f t="shared" si="6"/>
        <v>No</v>
      </c>
      <c r="I158" s="3">
        <f t="shared" si="7"/>
        <v>7.7652531758811927E-2</v>
      </c>
    </row>
    <row r="159" spans="1:9" x14ac:dyDescent="0.3">
      <c r="A159" s="1">
        <v>45108</v>
      </c>
      <c r="B159">
        <v>186.91</v>
      </c>
      <c r="C159">
        <v>198.75</v>
      </c>
      <c r="D159">
        <v>180.72</v>
      </c>
      <c r="E159">
        <v>198.71</v>
      </c>
      <c r="F159">
        <v>192.26</v>
      </c>
      <c r="G159">
        <v>526161500</v>
      </c>
      <c r="H159" t="str">
        <f t="shared" si="6"/>
        <v>No</v>
      </c>
      <c r="I159" s="3">
        <f t="shared" si="7"/>
        <v>6.4032320549006538E-2</v>
      </c>
    </row>
    <row r="160" spans="1:9" x14ac:dyDescent="0.3">
      <c r="A160" s="1">
        <v>45139</v>
      </c>
      <c r="B160">
        <v>197.43</v>
      </c>
      <c r="C160">
        <v>197.94</v>
      </c>
      <c r="D160">
        <v>181.61</v>
      </c>
      <c r="E160">
        <v>188.61</v>
      </c>
      <c r="F160">
        <v>182.49</v>
      </c>
      <c r="G160">
        <v>561875200</v>
      </c>
      <c r="H160" t="str">
        <f t="shared" si="6"/>
        <v>No</v>
      </c>
      <c r="I160" s="3">
        <f t="shared" si="7"/>
        <v>-5.0816602517424259E-2</v>
      </c>
    </row>
    <row r="161" spans="1:9" x14ac:dyDescent="0.3">
      <c r="A161" s="1">
        <v>45170</v>
      </c>
      <c r="B161">
        <v>190.07</v>
      </c>
      <c r="C161">
        <v>191.86</v>
      </c>
      <c r="D161">
        <v>174.29</v>
      </c>
      <c r="E161">
        <v>176.74</v>
      </c>
      <c r="F161">
        <v>171</v>
      </c>
      <c r="G161">
        <v>532323000</v>
      </c>
      <c r="H161" t="str">
        <f t="shared" si="6"/>
        <v>No</v>
      </c>
      <c r="I161" s="3">
        <f t="shared" si="7"/>
        <v>-6.2962354101594675E-2</v>
      </c>
    </row>
    <row r="162" spans="1:9" x14ac:dyDescent="0.3">
      <c r="A162" s="1">
        <v>45200</v>
      </c>
      <c r="B162">
        <v>176.33</v>
      </c>
      <c r="C162">
        <v>177.23</v>
      </c>
      <c r="D162">
        <v>161.66999999999999</v>
      </c>
      <c r="E162">
        <v>164.52</v>
      </c>
      <c r="F162">
        <v>159.93</v>
      </c>
      <c r="G162">
        <v>854817200</v>
      </c>
      <c r="H162" t="str">
        <f t="shared" ref="H162:H195" si="8">IF(ISNUMBER(SEARCH("Dividend",B162)),"Yes","No")</f>
        <v>No</v>
      </c>
      <c r="I162" s="3">
        <f t="shared" si="7"/>
        <v>-6.4736842105263093E-2</v>
      </c>
    </row>
    <row r="163" spans="1:9" x14ac:dyDescent="0.3">
      <c r="A163" s="1">
        <v>45231</v>
      </c>
      <c r="B163">
        <v>164.46</v>
      </c>
      <c r="C163">
        <v>181.76</v>
      </c>
      <c r="D163">
        <v>163.1</v>
      </c>
      <c r="E163">
        <v>179.66</v>
      </c>
      <c r="F163">
        <v>174.64</v>
      </c>
      <c r="G163">
        <v>815617500</v>
      </c>
      <c r="H163" t="str">
        <f t="shared" si="8"/>
        <v>No</v>
      </c>
      <c r="I163" s="3">
        <f t="shared" si="7"/>
        <v>9.1977740261364183E-2</v>
      </c>
    </row>
    <row r="164" spans="1:9" x14ac:dyDescent="0.3">
      <c r="A164" s="1">
        <v>45261</v>
      </c>
      <c r="B164">
        <v>179.2</v>
      </c>
      <c r="C164">
        <v>205.49</v>
      </c>
      <c r="D164">
        <v>178.21</v>
      </c>
      <c r="E164">
        <v>200.71</v>
      </c>
      <c r="F164">
        <v>195.11</v>
      </c>
      <c r="G164">
        <v>916832700</v>
      </c>
      <c r="H164" t="str">
        <f t="shared" si="8"/>
        <v>No</v>
      </c>
      <c r="I164" s="3">
        <f t="shared" si="7"/>
        <v>0.11721255153458565</v>
      </c>
    </row>
    <row r="165" spans="1:9" x14ac:dyDescent="0.3">
      <c r="A165" s="1">
        <v>45292</v>
      </c>
      <c r="B165">
        <v>199.4</v>
      </c>
      <c r="C165">
        <v>201.62</v>
      </c>
      <c r="D165">
        <v>187.53</v>
      </c>
      <c r="E165">
        <v>192.88</v>
      </c>
      <c r="F165">
        <v>188.18</v>
      </c>
      <c r="G165">
        <v>886193900</v>
      </c>
      <c r="H165" t="str">
        <f t="shared" si="8"/>
        <v>No</v>
      </c>
      <c r="I165" s="3">
        <f t="shared" si="7"/>
        <v>-3.5518425503562101E-2</v>
      </c>
    </row>
    <row r="166" spans="1:9" x14ac:dyDescent="0.3">
      <c r="A166" s="1">
        <v>45323</v>
      </c>
      <c r="B166">
        <v>194.31</v>
      </c>
      <c r="C166">
        <v>206.04</v>
      </c>
      <c r="D166">
        <v>190.06</v>
      </c>
      <c r="E166">
        <v>203.73</v>
      </c>
      <c r="F166">
        <v>198.77</v>
      </c>
      <c r="G166">
        <v>833579400</v>
      </c>
      <c r="H166" t="str">
        <f t="shared" si="8"/>
        <v>No</v>
      </c>
      <c r="I166" s="3">
        <f t="shared" si="7"/>
        <v>5.6275906047401403E-2</v>
      </c>
    </row>
    <row r="167" spans="1:9" x14ac:dyDescent="0.3">
      <c r="A167" s="1">
        <v>45352</v>
      </c>
      <c r="B167">
        <v>204.53</v>
      </c>
      <c r="C167">
        <v>211.88</v>
      </c>
      <c r="D167">
        <v>199.66</v>
      </c>
      <c r="E167">
        <v>210.3</v>
      </c>
      <c r="F167">
        <v>205.18</v>
      </c>
      <c r="G167">
        <v>682720000</v>
      </c>
      <c r="H167" t="str">
        <f t="shared" si="8"/>
        <v>No</v>
      </c>
      <c r="I167" s="3">
        <f t="shared" si="7"/>
        <v>3.2248327212355932E-2</v>
      </c>
    </row>
    <row r="168" spans="1:9" x14ac:dyDescent="0.3">
      <c r="A168" s="1">
        <v>45383</v>
      </c>
      <c r="B168">
        <v>210.77</v>
      </c>
      <c r="C168">
        <v>210.8</v>
      </c>
      <c r="D168">
        <v>191.34</v>
      </c>
      <c r="E168">
        <v>195.9</v>
      </c>
      <c r="F168">
        <v>191.61</v>
      </c>
      <c r="G168">
        <v>729531600</v>
      </c>
      <c r="H168" t="str">
        <f t="shared" si="8"/>
        <v>No</v>
      </c>
      <c r="I168" s="3">
        <f t="shared" si="7"/>
        <v>-6.6137050394775243E-2</v>
      </c>
    </row>
    <row r="169" spans="1:9" x14ac:dyDescent="0.3">
      <c r="A169" s="1">
        <v>45413</v>
      </c>
      <c r="B169">
        <v>195.88</v>
      </c>
      <c r="C169">
        <v>209.77</v>
      </c>
      <c r="D169">
        <v>195.03</v>
      </c>
      <c r="E169">
        <v>205.77</v>
      </c>
      <c r="F169">
        <v>201.27</v>
      </c>
      <c r="G169">
        <v>544357300</v>
      </c>
      <c r="H169" t="str">
        <f t="shared" si="8"/>
        <v>No</v>
      </c>
      <c r="I169" s="3">
        <f t="shared" si="7"/>
        <v>5.0414905276342514E-2</v>
      </c>
    </row>
    <row r="170" spans="1:9" x14ac:dyDescent="0.3">
      <c r="A170" s="1">
        <v>45444</v>
      </c>
      <c r="B170">
        <v>207.53</v>
      </c>
      <c r="C170">
        <v>207.56</v>
      </c>
      <c r="D170">
        <v>197.41</v>
      </c>
      <c r="E170">
        <v>202.89</v>
      </c>
      <c r="F170">
        <v>198.45</v>
      </c>
      <c r="G170">
        <v>495551200</v>
      </c>
      <c r="H170" t="str">
        <f t="shared" si="8"/>
        <v>No</v>
      </c>
      <c r="I170" s="3">
        <f t="shared" si="7"/>
        <v>-1.4011029959755672E-2</v>
      </c>
    </row>
    <row r="171" spans="1:9" x14ac:dyDescent="0.3">
      <c r="A171" s="1">
        <v>45474</v>
      </c>
      <c r="B171">
        <v>203.52</v>
      </c>
      <c r="C171">
        <v>228.63</v>
      </c>
      <c r="D171">
        <v>199.88</v>
      </c>
      <c r="E171">
        <v>223.86</v>
      </c>
      <c r="F171">
        <v>219.57</v>
      </c>
      <c r="G171">
        <v>842383400</v>
      </c>
      <c r="H171" t="str">
        <f t="shared" si="8"/>
        <v>No</v>
      </c>
      <c r="I171" s="3">
        <f t="shared" si="7"/>
        <v>0.10642479213907796</v>
      </c>
    </row>
    <row r="172" spans="1:9" x14ac:dyDescent="0.3">
      <c r="A172" s="1">
        <v>45505</v>
      </c>
      <c r="B172">
        <v>223.77</v>
      </c>
      <c r="C172">
        <v>224.89</v>
      </c>
      <c r="D172">
        <v>196.7</v>
      </c>
      <c r="E172">
        <v>220.08</v>
      </c>
      <c r="F172">
        <v>215.87</v>
      </c>
      <c r="G172">
        <v>691763000</v>
      </c>
      <c r="H172" t="str">
        <f t="shared" si="8"/>
        <v>No</v>
      </c>
      <c r="I172" s="3">
        <f t="shared" si="7"/>
        <v>-1.6851118094457274E-2</v>
      </c>
    </row>
    <row r="173" spans="1:9" x14ac:dyDescent="0.3">
      <c r="A173" s="1">
        <v>45536</v>
      </c>
      <c r="B173">
        <v>218.81</v>
      </c>
      <c r="C173">
        <v>224.94</v>
      </c>
      <c r="D173">
        <v>204.21</v>
      </c>
      <c r="E173">
        <v>220.89</v>
      </c>
      <c r="F173">
        <v>216.66</v>
      </c>
      <c r="G173">
        <v>570408800</v>
      </c>
      <c r="H173" t="str">
        <f t="shared" si="8"/>
        <v>No</v>
      </c>
      <c r="I173" s="3">
        <f t="shared" si="7"/>
        <v>3.6596099504331292E-3</v>
      </c>
    </row>
    <row r="174" spans="1:9" x14ac:dyDescent="0.3">
      <c r="A174" s="1">
        <v>45566</v>
      </c>
      <c r="B174">
        <v>220.17</v>
      </c>
      <c r="C174">
        <v>227.17</v>
      </c>
      <c r="D174">
        <v>214.6</v>
      </c>
      <c r="E174">
        <v>217.76</v>
      </c>
      <c r="F174">
        <v>214.32</v>
      </c>
      <c r="G174">
        <v>489963100</v>
      </c>
      <c r="H174" t="str">
        <f t="shared" si="8"/>
        <v>No</v>
      </c>
      <c r="I174" s="3">
        <f t="shared" si="7"/>
        <v>-1.0800332317917438E-2</v>
      </c>
    </row>
    <row r="175" spans="1:9" x14ac:dyDescent="0.3">
      <c r="A175" s="1">
        <v>45597</v>
      </c>
      <c r="B175">
        <v>219.5</v>
      </c>
      <c r="C175">
        <v>244.98</v>
      </c>
      <c r="D175">
        <v>217.84</v>
      </c>
      <c r="E175">
        <v>241.87</v>
      </c>
      <c r="F175">
        <v>238.05</v>
      </c>
      <c r="G175">
        <v>586229000</v>
      </c>
      <c r="H175" t="str">
        <f t="shared" si="8"/>
        <v>No</v>
      </c>
      <c r="I175" s="3">
        <f t="shared" si="7"/>
        <v>0.11072228443449061</v>
      </c>
    </row>
    <row r="176" spans="1:9" x14ac:dyDescent="0.3">
      <c r="A176" s="1">
        <v>45627</v>
      </c>
      <c r="B176">
        <v>242.24</v>
      </c>
      <c r="C176">
        <v>242.66</v>
      </c>
      <c r="D176">
        <v>217.85</v>
      </c>
      <c r="E176">
        <v>220.96</v>
      </c>
      <c r="F176">
        <v>217.47</v>
      </c>
      <c r="G176">
        <v>578038300</v>
      </c>
      <c r="H176" t="str">
        <f t="shared" si="8"/>
        <v>No</v>
      </c>
      <c r="I176" s="3">
        <f t="shared" si="7"/>
        <v>-8.6452425960932611E-2</v>
      </c>
    </row>
    <row r="177" spans="1:9" x14ac:dyDescent="0.3">
      <c r="A177" s="1">
        <v>45658</v>
      </c>
      <c r="B177">
        <v>222.93</v>
      </c>
      <c r="C177">
        <v>230.32</v>
      </c>
      <c r="D177">
        <v>213.97</v>
      </c>
      <c r="E177">
        <v>226.48</v>
      </c>
      <c r="F177">
        <v>223.56</v>
      </c>
      <c r="G177">
        <v>515215600</v>
      </c>
      <c r="H177" t="str">
        <f t="shared" si="8"/>
        <v>No</v>
      </c>
      <c r="I177" s="3">
        <f t="shared" si="7"/>
        <v>2.8003862601738261E-2</v>
      </c>
    </row>
    <row r="178" spans="1:9" x14ac:dyDescent="0.3">
      <c r="A178" s="1">
        <v>45689</v>
      </c>
      <c r="B178">
        <v>221.51</v>
      </c>
      <c r="C178">
        <v>230.7</v>
      </c>
      <c r="D178">
        <v>210.96</v>
      </c>
      <c r="E178">
        <v>214.65</v>
      </c>
      <c r="F178">
        <v>211.89</v>
      </c>
      <c r="G178">
        <v>453962300</v>
      </c>
      <c r="H178" t="str">
        <f t="shared" si="8"/>
        <v>No</v>
      </c>
      <c r="I178" s="3">
        <f t="shared" si="7"/>
        <v>-5.2200751476113916E-2</v>
      </c>
    </row>
    <row r="179" spans="1:9" x14ac:dyDescent="0.3">
      <c r="A179" s="1">
        <v>45717</v>
      </c>
      <c r="B179">
        <v>215.4</v>
      </c>
      <c r="C179">
        <v>215.96</v>
      </c>
      <c r="D179">
        <v>195.49</v>
      </c>
      <c r="E179">
        <v>199.49</v>
      </c>
      <c r="F179">
        <v>196.92</v>
      </c>
      <c r="G179">
        <v>696906900</v>
      </c>
      <c r="H179" t="str">
        <f t="shared" si="8"/>
        <v>No</v>
      </c>
      <c r="I179" s="3">
        <f t="shared" si="7"/>
        <v>-7.0649865496248077E-2</v>
      </c>
    </row>
    <row r="180" spans="1:9" x14ac:dyDescent="0.3">
      <c r="A180" s="1">
        <v>45748</v>
      </c>
      <c r="B180">
        <v>198.99</v>
      </c>
      <c r="C180">
        <v>203.33</v>
      </c>
      <c r="D180">
        <v>171.73</v>
      </c>
      <c r="E180">
        <v>194.86</v>
      </c>
      <c r="F180">
        <v>192.78</v>
      </c>
      <c r="G180">
        <v>984301200</v>
      </c>
      <c r="H180" t="str">
        <f t="shared" si="8"/>
        <v>No</v>
      </c>
      <c r="I180" s="3">
        <f t="shared" si="7"/>
        <v>-2.1023765996343591E-2</v>
      </c>
    </row>
    <row r="181" spans="1:9" x14ac:dyDescent="0.3">
      <c r="A181" s="1">
        <v>45778</v>
      </c>
      <c r="B181">
        <v>195.71</v>
      </c>
      <c r="C181">
        <v>210.13</v>
      </c>
      <c r="D181">
        <v>193.74</v>
      </c>
      <c r="E181">
        <v>205.07</v>
      </c>
      <c r="F181">
        <v>202.88</v>
      </c>
      <c r="G181">
        <v>599393600</v>
      </c>
      <c r="H181" t="str">
        <f t="shared" si="8"/>
        <v>No</v>
      </c>
      <c r="I181" s="3">
        <f t="shared" si="7"/>
        <v>5.2391326901130686E-2</v>
      </c>
    </row>
    <row r="182" spans="1:9" x14ac:dyDescent="0.3">
      <c r="A182" s="1">
        <v>45809</v>
      </c>
      <c r="B182">
        <v>205.32</v>
      </c>
      <c r="C182">
        <v>217.41</v>
      </c>
      <c r="D182">
        <v>202.67</v>
      </c>
      <c r="E182">
        <v>215.79</v>
      </c>
      <c r="F182">
        <v>213.49</v>
      </c>
      <c r="G182">
        <v>680558800</v>
      </c>
      <c r="H182" t="str">
        <f t="shared" si="8"/>
        <v>No</v>
      </c>
      <c r="I182" s="3">
        <f t="shared" si="7"/>
        <v>5.2296924290220925E-2</v>
      </c>
    </row>
    <row r="183" spans="1:9" x14ac:dyDescent="0.3">
      <c r="A183" s="1">
        <v>45839</v>
      </c>
      <c r="B183">
        <v>214.62</v>
      </c>
      <c r="C183">
        <v>226.71</v>
      </c>
      <c r="D183">
        <v>214.15</v>
      </c>
      <c r="E183">
        <v>219.39</v>
      </c>
      <c r="F183">
        <v>217.65</v>
      </c>
      <c r="G183">
        <v>784486300</v>
      </c>
      <c r="H183" t="str">
        <f t="shared" si="8"/>
        <v>No</v>
      </c>
      <c r="I183" s="3">
        <f t="shared" si="7"/>
        <v>1.9485690196262118E-2</v>
      </c>
    </row>
    <row r="184" spans="1:9" x14ac:dyDescent="0.3">
      <c r="A184" s="1">
        <v>45870</v>
      </c>
      <c r="B184">
        <v>216.22</v>
      </c>
      <c r="C184">
        <v>237.02</v>
      </c>
      <c r="D184">
        <v>212.34</v>
      </c>
      <c r="E184">
        <v>235.17</v>
      </c>
      <c r="F184">
        <v>233.31</v>
      </c>
      <c r="G184">
        <v>709336000</v>
      </c>
      <c r="H184" t="str">
        <f t="shared" si="8"/>
        <v>No</v>
      </c>
      <c r="I184" s="3">
        <f t="shared" si="7"/>
        <v>7.1950379048931756E-2</v>
      </c>
    </row>
    <row r="185" spans="1:9" x14ac:dyDescent="0.3">
      <c r="A185" s="1">
        <v>45901</v>
      </c>
      <c r="B185">
        <v>231.99</v>
      </c>
      <c r="C185">
        <v>247.18</v>
      </c>
      <c r="D185">
        <v>231.47</v>
      </c>
      <c r="E185">
        <v>241.96</v>
      </c>
      <c r="F185">
        <v>240.04</v>
      </c>
      <c r="G185">
        <v>847458100</v>
      </c>
      <c r="H185" t="str">
        <f t="shared" si="8"/>
        <v>No</v>
      </c>
      <c r="I185" s="3">
        <f t="shared" si="7"/>
        <v>2.8845741717028694E-2</v>
      </c>
    </row>
    <row r="186" spans="1:9" x14ac:dyDescent="0.3">
      <c r="A186" s="1">
        <v>45931</v>
      </c>
      <c r="B186">
        <v>240.57</v>
      </c>
      <c r="C186">
        <v>252.77</v>
      </c>
      <c r="D186">
        <v>237.56</v>
      </c>
      <c r="E186">
        <v>246.23</v>
      </c>
      <c r="F186">
        <v>244.97</v>
      </c>
      <c r="G186">
        <v>871348800</v>
      </c>
      <c r="H186" t="str">
        <f t="shared" si="8"/>
        <v>No</v>
      </c>
      <c r="I186" s="3">
        <f t="shared" si="7"/>
        <v>2.053824362606238E-2</v>
      </c>
    </row>
    <row r="187" spans="1:9" x14ac:dyDescent="0.3">
      <c r="A187" s="1">
        <v>45962</v>
      </c>
      <c r="B187">
        <v>246.17</v>
      </c>
      <c r="C187">
        <v>248.83</v>
      </c>
      <c r="D187">
        <v>228.9</v>
      </c>
      <c r="E187">
        <v>248.75</v>
      </c>
      <c r="F187">
        <v>247.48</v>
      </c>
      <c r="G187">
        <v>921329900</v>
      </c>
      <c r="H187" t="str">
        <f t="shared" si="8"/>
        <v>No</v>
      </c>
      <c r="I187" s="3">
        <f t="shared" si="7"/>
        <v>1.0246152590112967E-2</v>
      </c>
    </row>
    <row r="188" spans="1:9" x14ac:dyDescent="0.3">
      <c r="A188" s="1">
        <v>45992</v>
      </c>
      <c r="B188">
        <v>245.57</v>
      </c>
      <c r="C188">
        <v>258.2</v>
      </c>
      <c r="D188">
        <v>245.12</v>
      </c>
      <c r="E188">
        <v>246.16</v>
      </c>
      <c r="F188">
        <v>244.9</v>
      </c>
      <c r="G188">
        <v>773009700</v>
      </c>
      <c r="H188" t="str">
        <f t="shared" si="8"/>
        <v>No</v>
      </c>
      <c r="I188" s="3">
        <f t="shared" si="7"/>
        <v>-1.0425084855341771E-2</v>
      </c>
    </row>
    <row r="189" spans="1:9" x14ac:dyDescent="0.3">
      <c r="A189" s="1">
        <v>46023</v>
      </c>
      <c r="B189">
        <v>247.63</v>
      </c>
      <c r="C189">
        <v>271.60000000000002</v>
      </c>
      <c r="D189">
        <v>245.86</v>
      </c>
      <c r="E189">
        <v>259.64999999999998</v>
      </c>
      <c r="F189">
        <v>259.19</v>
      </c>
      <c r="G189">
        <v>777137100</v>
      </c>
      <c r="H189" t="str">
        <f t="shared" si="8"/>
        <v>No</v>
      </c>
      <c r="I189" s="3">
        <f t="shared" si="7"/>
        <v>5.8350347080440956E-2</v>
      </c>
    </row>
    <row r="190" spans="1:9" x14ac:dyDescent="0.3">
      <c r="A190" s="1">
        <v>46054</v>
      </c>
      <c r="B190">
        <v>258.48</v>
      </c>
      <c r="C190">
        <v>268.95999999999998</v>
      </c>
      <c r="D190">
        <v>255.05</v>
      </c>
      <c r="E190">
        <v>261.41000000000003</v>
      </c>
      <c r="F190">
        <v>260.95</v>
      </c>
      <c r="G190">
        <v>761127100</v>
      </c>
      <c r="H190" t="str">
        <f t="shared" si="8"/>
        <v>No</v>
      </c>
      <c r="I190" s="3">
        <f t="shared" si="7"/>
        <v>6.7903854315367607E-3</v>
      </c>
    </row>
    <row r="191" spans="1:9" x14ac:dyDescent="0.3">
      <c r="A191" s="1">
        <v>46082</v>
      </c>
      <c r="B191">
        <v>257.81</v>
      </c>
      <c r="C191">
        <v>264.27999999999997</v>
      </c>
      <c r="D191">
        <v>238.69</v>
      </c>
      <c r="E191">
        <v>248</v>
      </c>
      <c r="F191">
        <v>247.56</v>
      </c>
      <c r="G191">
        <v>1206107400</v>
      </c>
      <c r="H191" t="str">
        <f t="shared" si="8"/>
        <v>No</v>
      </c>
      <c r="I191" s="3">
        <f t="shared" si="7"/>
        <v>-5.1312511975474151E-2</v>
      </c>
    </row>
    <row r="192" spans="1:9" x14ac:dyDescent="0.3">
      <c r="A192" s="1">
        <v>46113</v>
      </c>
      <c r="B192">
        <v>249.92</v>
      </c>
      <c r="C192">
        <v>279.79000000000002</v>
      </c>
      <c r="D192">
        <v>244.87</v>
      </c>
      <c r="E192">
        <v>277.97000000000003</v>
      </c>
      <c r="F192">
        <v>277.97000000000003</v>
      </c>
      <c r="G192">
        <v>617721500</v>
      </c>
      <c r="H192" t="str">
        <f t="shared" si="8"/>
        <v>No</v>
      </c>
      <c r="I192" s="3">
        <f t="shared" si="7"/>
        <v>0.12283890773953798</v>
      </c>
    </row>
    <row r="193" spans="1:9" x14ac:dyDescent="0.3">
      <c r="A193" s="1">
        <v>46143</v>
      </c>
      <c r="B193">
        <v>278.66000000000003</v>
      </c>
      <c r="C193">
        <v>292.74</v>
      </c>
      <c r="D193">
        <v>270.63</v>
      </c>
      <c r="E193">
        <v>290.43</v>
      </c>
      <c r="F193">
        <v>290.43</v>
      </c>
      <c r="G193">
        <v>522023000</v>
      </c>
      <c r="H193" t="str">
        <f t="shared" si="8"/>
        <v>No</v>
      </c>
      <c r="I193" s="3">
        <f t="shared" si="7"/>
        <v>4.4824981113069651E-2</v>
      </c>
    </row>
    <row r="194" spans="1:9" x14ac:dyDescent="0.3">
      <c r="A194" s="1">
        <v>46174</v>
      </c>
      <c r="B194">
        <v>288.37</v>
      </c>
      <c r="C194">
        <v>295.72000000000003</v>
      </c>
      <c r="D194">
        <v>277.62</v>
      </c>
      <c r="E194">
        <v>292.95</v>
      </c>
      <c r="F194">
        <v>292.95</v>
      </c>
      <c r="G194">
        <v>315673800</v>
      </c>
      <c r="H194" t="str">
        <f t="shared" si="8"/>
        <v>No</v>
      </c>
      <c r="I194" s="3">
        <f t="shared" si="7"/>
        <v>8.6767895878523404E-3</v>
      </c>
    </row>
    <row r="195" spans="1:9" x14ac:dyDescent="0.3">
      <c r="A195" s="1">
        <v>46185</v>
      </c>
      <c r="B195">
        <v>291.63</v>
      </c>
      <c r="C195">
        <v>295.70999999999998</v>
      </c>
      <c r="D195">
        <v>290.31</v>
      </c>
      <c r="E195">
        <v>292.95</v>
      </c>
      <c r="F195">
        <v>292.95</v>
      </c>
      <c r="G195">
        <v>33943341</v>
      </c>
      <c r="H195" t="str">
        <f t="shared" si="8"/>
        <v>No</v>
      </c>
      <c r="I195" s="3">
        <f t="shared" si="7"/>
        <v>0</v>
      </c>
    </row>
    <row r="197" spans="1:9" x14ac:dyDescent="0.3">
      <c r="H197" s="2" t="s">
        <v>11</v>
      </c>
      <c r="I197" s="4">
        <f>AVERAGE(I3:I195)</f>
        <v>1.0865372635190567E-2</v>
      </c>
    </row>
    <row r="198" spans="1:9" x14ac:dyDescent="0.3">
      <c r="H198" s="2" t="s">
        <v>16</v>
      </c>
      <c r="I198" s="4">
        <f>STDEV(I3:I195)</f>
        <v>5.6207848816708837E-2</v>
      </c>
    </row>
    <row r="199" spans="1:9" x14ac:dyDescent="0.3">
      <c r="H199" s="2"/>
      <c r="I199" s="2"/>
    </row>
    <row r="200" spans="1:9" x14ac:dyDescent="0.3">
      <c r="H200" s="2"/>
      <c r="I200" s="2"/>
    </row>
  </sheetData>
  <sortState xmlns:xlrd2="http://schemas.microsoft.com/office/spreadsheetml/2017/richdata2" ref="A2:I195">
    <sortCondition ref="A2:A19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882B-7D9B-4CDC-9F9C-69959F028D41}">
  <dimension ref="A1:J199"/>
  <sheetViews>
    <sheetView workbookViewId="0">
      <pane ySplit="1" topLeftCell="A181" activePane="bottomLeft" state="frozen"/>
      <selection pane="bottomLeft" activeCell="H197" sqref="H197:J199"/>
    </sheetView>
  </sheetViews>
  <sheetFormatPr defaultRowHeight="14.4" x14ac:dyDescent="0.3"/>
  <cols>
    <col min="1" max="1" width="10.5546875" bestFit="1" customWidth="1"/>
    <col min="7" max="7" width="10" bestFit="1" customWidth="1"/>
    <col min="8" max="8" width="13.44140625" bestFit="1" customWidth="1"/>
  </cols>
  <sheetData>
    <row r="1" spans="1:9" s="2" customFormat="1" x14ac:dyDescent="0.3">
      <c r="A1" s="2" t="s">
        <v>0</v>
      </c>
      <c r="B1" s="2" t="s">
        <v>1</v>
      </c>
      <c r="C1" s="2" t="s">
        <v>2</v>
      </c>
      <c r="D1" s="2" t="s">
        <v>3</v>
      </c>
      <c r="E1" s="2" t="s">
        <v>4</v>
      </c>
      <c r="F1" s="2" t="s">
        <v>5</v>
      </c>
      <c r="G1" s="2" t="s">
        <v>6</v>
      </c>
      <c r="H1" s="2" t="s">
        <v>10</v>
      </c>
      <c r="I1" s="2" t="s">
        <v>15</v>
      </c>
    </row>
    <row r="2" spans="1:9" x14ac:dyDescent="0.3">
      <c r="A2" s="1">
        <v>40330</v>
      </c>
      <c r="B2">
        <v>48.84</v>
      </c>
      <c r="C2">
        <v>52.15</v>
      </c>
      <c r="D2">
        <v>45.23</v>
      </c>
      <c r="E2">
        <v>46.49</v>
      </c>
      <c r="F2">
        <v>24.76</v>
      </c>
      <c r="G2">
        <v>78490500</v>
      </c>
      <c r="H2" t="str">
        <f t="shared" ref="H2:H33" si="0">IF(ISNUMBER(SEARCH("Dividend",B2)),"Yes","No")</f>
        <v>No</v>
      </c>
      <c r="I2" s="3"/>
    </row>
    <row r="3" spans="1:9" x14ac:dyDescent="0.3">
      <c r="A3" s="1">
        <v>40360</v>
      </c>
      <c r="B3">
        <v>46.52</v>
      </c>
      <c r="C3">
        <v>51.82</v>
      </c>
      <c r="D3">
        <v>43.96</v>
      </c>
      <c r="E3">
        <v>50.95</v>
      </c>
      <c r="F3">
        <v>27.39</v>
      </c>
      <c r="G3">
        <v>67021200</v>
      </c>
      <c r="H3" t="str">
        <f t="shared" si="0"/>
        <v>No</v>
      </c>
      <c r="I3" s="3">
        <f>(F3/F2)-1</f>
        <v>0.10621970920840051</v>
      </c>
    </row>
    <row r="4" spans="1:9" x14ac:dyDescent="0.3">
      <c r="A4" s="1">
        <v>40391</v>
      </c>
      <c r="B4">
        <v>51.78</v>
      </c>
      <c r="C4">
        <v>52.81</v>
      </c>
      <c r="D4">
        <v>48.11</v>
      </c>
      <c r="E4">
        <v>50.3</v>
      </c>
      <c r="F4">
        <v>27.04</v>
      </c>
      <c r="G4">
        <v>49065200</v>
      </c>
      <c r="H4" t="str">
        <f t="shared" si="0"/>
        <v>No</v>
      </c>
      <c r="I4" s="3">
        <f t="shared" ref="I4:I67" si="1">(F4/F3)-1</f>
        <v>-1.2778386272362274E-2</v>
      </c>
    </row>
    <row r="5" spans="1:9" x14ac:dyDescent="0.3">
      <c r="A5" s="1">
        <v>40422</v>
      </c>
      <c r="B5">
        <v>50.89</v>
      </c>
      <c r="C5">
        <v>54.85</v>
      </c>
      <c r="D5">
        <v>50.88</v>
      </c>
      <c r="E5">
        <v>52.08</v>
      </c>
      <c r="F5">
        <v>28</v>
      </c>
      <c r="G5">
        <v>44821500</v>
      </c>
      <c r="H5" t="str">
        <f t="shared" si="0"/>
        <v>No</v>
      </c>
      <c r="I5" s="3">
        <f t="shared" si="1"/>
        <v>3.5502958579881616E-2</v>
      </c>
    </row>
    <row r="6" spans="1:9" x14ac:dyDescent="0.3">
      <c r="A6" s="1">
        <v>40452</v>
      </c>
      <c r="B6">
        <v>52.39</v>
      </c>
      <c r="C6">
        <v>56.18</v>
      </c>
      <c r="D6">
        <v>51.69</v>
      </c>
      <c r="E6">
        <v>54.55</v>
      </c>
      <c r="F6">
        <v>29.59</v>
      </c>
      <c r="G6">
        <v>42152700</v>
      </c>
      <c r="H6" t="str">
        <f t="shared" si="0"/>
        <v>No</v>
      </c>
      <c r="I6" s="3">
        <f t="shared" si="1"/>
        <v>5.6785714285714217E-2</v>
      </c>
    </row>
    <row r="7" spans="1:9" x14ac:dyDescent="0.3">
      <c r="A7" s="1">
        <v>40483</v>
      </c>
      <c r="B7">
        <v>54.81</v>
      </c>
      <c r="C7">
        <v>57.65</v>
      </c>
      <c r="D7">
        <v>51.62</v>
      </c>
      <c r="E7">
        <v>53.54</v>
      </c>
      <c r="F7">
        <v>29.05</v>
      </c>
      <c r="G7">
        <v>37579700</v>
      </c>
      <c r="H7" t="str">
        <f t="shared" si="0"/>
        <v>No</v>
      </c>
      <c r="I7" s="3">
        <f t="shared" si="1"/>
        <v>-1.8249408583981053E-2</v>
      </c>
    </row>
    <row r="8" spans="1:9" x14ac:dyDescent="0.3">
      <c r="A8" s="1">
        <v>40513</v>
      </c>
      <c r="B8">
        <v>54.2</v>
      </c>
      <c r="C8">
        <v>55.75</v>
      </c>
      <c r="D8">
        <v>52.75</v>
      </c>
      <c r="E8">
        <v>55.37</v>
      </c>
      <c r="F8">
        <v>30.04</v>
      </c>
      <c r="G8">
        <v>39338400</v>
      </c>
      <c r="H8" t="str">
        <f t="shared" si="0"/>
        <v>No</v>
      </c>
      <c r="I8" s="3">
        <f t="shared" si="1"/>
        <v>3.407917383821002E-2</v>
      </c>
    </row>
    <row r="9" spans="1:9" x14ac:dyDescent="0.3">
      <c r="A9" s="1">
        <v>40544</v>
      </c>
      <c r="B9">
        <v>55.76</v>
      </c>
      <c r="C9">
        <v>57.6</v>
      </c>
      <c r="D9">
        <v>54.42</v>
      </c>
      <c r="E9">
        <v>57.17</v>
      </c>
      <c r="F9">
        <v>31.35</v>
      </c>
      <c r="G9">
        <v>33458200</v>
      </c>
      <c r="H9" t="str">
        <f t="shared" si="0"/>
        <v>No</v>
      </c>
      <c r="I9" s="3">
        <f t="shared" si="1"/>
        <v>4.360852197070586E-2</v>
      </c>
    </row>
    <row r="10" spans="1:9" x14ac:dyDescent="0.3">
      <c r="A10" s="1">
        <v>40575</v>
      </c>
      <c r="B10">
        <v>57.51</v>
      </c>
      <c r="C10">
        <v>59.86</v>
      </c>
      <c r="D10">
        <v>56.76</v>
      </c>
      <c r="E10">
        <v>59.86</v>
      </c>
      <c r="F10">
        <v>32.83</v>
      </c>
      <c r="G10">
        <v>28594500</v>
      </c>
      <c r="H10" t="str">
        <f t="shared" si="0"/>
        <v>No</v>
      </c>
      <c r="I10" s="3">
        <f t="shared" si="1"/>
        <v>4.72089314194577E-2</v>
      </c>
    </row>
    <row r="11" spans="1:9" x14ac:dyDescent="0.3">
      <c r="A11" s="1">
        <v>40603</v>
      </c>
      <c r="B11">
        <v>59.83</v>
      </c>
      <c r="C11">
        <v>60</v>
      </c>
      <c r="D11">
        <v>55.73</v>
      </c>
      <c r="E11">
        <v>58.47</v>
      </c>
      <c r="F11">
        <v>32.07</v>
      </c>
      <c r="G11">
        <v>47023800</v>
      </c>
      <c r="H11" t="str">
        <f t="shared" si="0"/>
        <v>No</v>
      </c>
      <c r="I11" s="3">
        <f t="shared" si="1"/>
        <v>-2.3149558330794906E-2</v>
      </c>
    </row>
    <row r="12" spans="1:9" x14ac:dyDescent="0.3">
      <c r="A12" s="1">
        <v>40634</v>
      </c>
      <c r="B12">
        <v>58.78</v>
      </c>
      <c r="C12">
        <v>62.38</v>
      </c>
      <c r="D12">
        <v>57.1</v>
      </c>
      <c r="E12">
        <v>61.83</v>
      </c>
      <c r="F12">
        <v>34.159999999999997</v>
      </c>
      <c r="G12">
        <v>35259100</v>
      </c>
      <c r="H12" t="str">
        <f t="shared" si="0"/>
        <v>No</v>
      </c>
      <c r="I12" s="3">
        <f t="shared" si="1"/>
        <v>6.5169940754599143E-2</v>
      </c>
    </row>
    <row r="13" spans="1:9" x14ac:dyDescent="0.3">
      <c r="A13" s="1">
        <v>40664</v>
      </c>
      <c r="B13">
        <v>62.13</v>
      </c>
      <c r="C13">
        <v>62.7</v>
      </c>
      <c r="D13">
        <v>59.72</v>
      </c>
      <c r="E13">
        <v>62.68</v>
      </c>
      <c r="F13">
        <v>34.630000000000003</v>
      </c>
      <c r="G13">
        <v>34298300</v>
      </c>
      <c r="H13" t="str">
        <f t="shared" si="0"/>
        <v>No</v>
      </c>
      <c r="I13" s="3">
        <f t="shared" si="1"/>
        <v>1.3758782201405362E-2</v>
      </c>
    </row>
    <row r="14" spans="1:9" x14ac:dyDescent="0.3">
      <c r="A14" s="1">
        <v>40695</v>
      </c>
      <c r="B14">
        <v>62.54</v>
      </c>
      <c r="C14">
        <v>62.61</v>
      </c>
      <c r="D14">
        <v>57.82</v>
      </c>
      <c r="E14">
        <v>60.1</v>
      </c>
      <c r="F14">
        <v>33.200000000000003</v>
      </c>
      <c r="G14">
        <v>42225100</v>
      </c>
      <c r="H14" t="str">
        <f t="shared" si="0"/>
        <v>No</v>
      </c>
      <c r="I14" s="3">
        <f t="shared" si="1"/>
        <v>-4.1293676003465229E-2</v>
      </c>
    </row>
    <row r="15" spans="1:9" x14ac:dyDescent="0.3">
      <c r="A15" s="1">
        <v>40725</v>
      </c>
      <c r="B15">
        <v>60.27</v>
      </c>
      <c r="C15">
        <v>63.32</v>
      </c>
      <c r="D15">
        <v>59.96</v>
      </c>
      <c r="E15">
        <v>61.04</v>
      </c>
      <c r="F15">
        <v>34.01</v>
      </c>
      <c r="G15">
        <v>34963400</v>
      </c>
      <c r="H15" t="str">
        <f t="shared" si="0"/>
        <v>No</v>
      </c>
      <c r="I15" s="3">
        <f t="shared" si="1"/>
        <v>2.4397590361445731E-2</v>
      </c>
    </row>
    <row r="16" spans="1:9" x14ac:dyDescent="0.3">
      <c r="A16" s="1">
        <v>40756</v>
      </c>
      <c r="B16">
        <v>61.77</v>
      </c>
      <c r="C16">
        <v>62</v>
      </c>
      <c r="D16">
        <v>48.72</v>
      </c>
      <c r="E16">
        <v>57.61</v>
      </c>
      <c r="F16">
        <v>32.1</v>
      </c>
      <c r="G16">
        <v>90734500</v>
      </c>
      <c r="H16" t="str">
        <f t="shared" si="0"/>
        <v>No</v>
      </c>
      <c r="I16" s="3">
        <f t="shared" si="1"/>
        <v>-5.6159952955013082E-2</v>
      </c>
    </row>
    <row r="17" spans="1:9" x14ac:dyDescent="0.3">
      <c r="A17" s="1">
        <v>40787</v>
      </c>
      <c r="B17">
        <v>57.5</v>
      </c>
      <c r="C17">
        <v>57.96</v>
      </c>
      <c r="D17">
        <v>50.65</v>
      </c>
      <c r="E17">
        <v>50.87</v>
      </c>
      <c r="F17">
        <v>28.34</v>
      </c>
      <c r="G17">
        <v>54834000</v>
      </c>
      <c r="H17" t="str">
        <f t="shared" si="0"/>
        <v>No</v>
      </c>
      <c r="I17" s="3">
        <f t="shared" si="1"/>
        <v>-0.11713395638629287</v>
      </c>
    </row>
    <row r="18" spans="1:9" x14ac:dyDescent="0.3">
      <c r="A18" s="1">
        <v>40817</v>
      </c>
      <c r="B18">
        <v>50.34</v>
      </c>
      <c r="C18">
        <v>59.12</v>
      </c>
      <c r="D18">
        <v>47.1</v>
      </c>
      <c r="E18">
        <v>58.14</v>
      </c>
      <c r="F18">
        <v>32.71</v>
      </c>
      <c r="G18">
        <v>60425700</v>
      </c>
      <c r="H18" t="str">
        <f t="shared" si="0"/>
        <v>No</v>
      </c>
      <c r="I18" s="3">
        <f t="shared" si="1"/>
        <v>0.15419901199717723</v>
      </c>
    </row>
    <row r="19" spans="1:9" x14ac:dyDescent="0.3">
      <c r="A19" s="1">
        <v>40848</v>
      </c>
      <c r="B19">
        <v>56.35</v>
      </c>
      <c r="C19">
        <v>58.49</v>
      </c>
      <c r="D19">
        <v>51.89</v>
      </c>
      <c r="E19">
        <v>55.93</v>
      </c>
      <c r="F19">
        <v>31.46</v>
      </c>
      <c r="G19">
        <v>40705700</v>
      </c>
      <c r="H19" t="str">
        <f t="shared" si="0"/>
        <v>No</v>
      </c>
      <c r="I19" s="3">
        <f t="shared" si="1"/>
        <v>-3.8214613268113706E-2</v>
      </c>
    </row>
    <row r="20" spans="1:9" x14ac:dyDescent="0.3">
      <c r="A20" s="1">
        <v>40878</v>
      </c>
      <c r="B20">
        <v>55.91</v>
      </c>
      <c r="C20">
        <v>58.87</v>
      </c>
      <c r="D20">
        <v>54.3</v>
      </c>
      <c r="E20">
        <v>58</v>
      </c>
      <c r="F20">
        <v>32.630000000000003</v>
      </c>
      <c r="G20">
        <v>34587700</v>
      </c>
      <c r="H20" t="str">
        <f t="shared" si="0"/>
        <v>No</v>
      </c>
      <c r="I20" s="3">
        <f t="shared" si="1"/>
        <v>3.7190082644628086E-2</v>
      </c>
    </row>
    <row r="21" spans="1:9" x14ac:dyDescent="0.3">
      <c r="A21" s="1">
        <v>40909</v>
      </c>
      <c r="B21">
        <v>59.05</v>
      </c>
      <c r="C21">
        <v>62.12</v>
      </c>
      <c r="D21">
        <v>57.03</v>
      </c>
      <c r="E21">
        <v>61.7</v>
      </c>
      <c r="F21">
        <v>35.090000000000003</v>
      </c>
      <c r="G21">
        <v>37191500</v>
      </c>
      <c r="H21" t="str">
        <f t="shared" si="0"/>
        <v>No</v>
      </c>
      <c r="I21" s="3">
        <f t="shared" si="1"/>
        <v>7.5390744713453861E-2</v>
      </c>
    </row>
    <row r="22" spans="1:9" x14ac:dyDescent="0.3">
      <c r="A22" s="1">
        <v>40940</v>
      </c>
      <c r="B22">
        <v>62.21</v>
      </c>
      <c r="C22">
        <v>63.35</v>
      </c>
      <c r="D22">
        <v>60.78</v>
      </c>
      <c r="E22">
        <v>60.99</v>
      </c>
      <c r="F22">
        <v>34.69</v>
      </c>
      <c r="G22">
        <v>43676600</v>
      </c>
      <c r="H22" t="str">
        <f t="shared" si="0"/>
        <v>No</v>
      </c>
      <c r="I22" s="3">
        <f t="shared" si="1"/>
        <v>-1.139925904816208E-2</v>
      </c>
    </row>
    <row r="23" spans="1:9" x14ac:dyDescent="0.3">
      <c r="A23" s="1">
        <v>40969</v>
      </c>
      <c r="B23">
        <v>61.05</v>
      </c>
      <c r="C23">
        <v>63.97</v>
      </c>
      <c r="D23">
        <v>60.65</v>
      </c>
      <c r="E23">
        <v>63.65</v>
      </c>
      <c r="F23">
        <v>36.200000000000003</v>
      </c>
      <c r="G23">
        <v>45843900</v>
      </c>
      <c r="H23" t="str">
        <f t="shared" si="0"/>
        <v>No</v>
      </c>
      <c r="I23" s="3">
        <f t="shared" si="1"/>
        <v>4.3528394349956923E-2</v>
      </c>
    </row>
    <row r="24" spans="1:9" x14ac:dyDescent="0.3">
      <c r="A24" s="1">
        <v>41000</v>
      </c>
      <c r="B24">
        <v>63.73</v>
      </c>
      <c r="C24">
        <v>65.760000000000005</v>
      </c>
      <c r="D24">
        <v>60.84</v>
      </c>
      <c r="E24">
        <v>65.47</v>
      </c>
      <c r="F24">
        <v>37.54</v>
      </c>
      <c r="G24">
        <v>44864300</v>
      </c>
      <c r="H24" t="str">
        <f t="shared" si="0"/>
        <v>No</v>
      </c>
      <c r="I24" s="3">
        <f t="shared" si="1"/>
        <v>3.7016574585635231E-2</v>
      </c>
    </row>
    <row r="25" spans="1:9" x14ac:dyDescent="0.3">
      <c r="A25" s="1">
        <v>41030</v>
      </c>
      <c r="B25">
        <v>65.55</v>
      </c>
      <c r="C25">
        <v>66.69</v>
      </c>
      <c r="D25">
        <v>60.91</v>
      </c>
      <c r="E25">
        <v>62.52</v>
      </c>
      <c r="F25">
        <v>35.85</v>
      </c>
      <c r="G25">
        <v>47361600</v>
      </c>
      <c r="H25" t="str">
        <f t="shared" si="0"/>
        <v>No</v>
      </c>
      <c r="I25" s="3">
        <f t="shared" si="1"/>
        <v>-4.5018646776771365E-2</v>
      </c>
    </row>
    <row r="26" spans="1:9" x14ac:dyDescent="0.3">
      <c r="A26" s="1">
        <v>41061</v>
      </c>
      <c r="B26">
        <v>61.6</v>
      </c>
      <c r="C26">
        <v>65.47</v>
      </c>
      <c r="D26">
        <v>60.14</v>
      </c>
      <c r="E26">
        <v>65.430000000000007</v>
      </c>
      <c r="F26">
        <v>37.520000000000003</v>
      </c>
      <c r="G26">
        <v>51999500</v>
      </c>
      <c r="H26" t="str">
        <f t="shared" si="0"/>
        <v>No</v>
      </c>
      <c r="I26" s="3">
        <f t="shared" si="1"/>
        <v>4.6582984658298576E-2</v>
      </c>
    </row>
    <row r="27" spans="1:9" x14ac:dyDescent="0.3">
      <c r="A27" s="1">
        <v>41091</v>
      </c>
      <c r="B27">
        <v>65.94</v>
      </c>
      <c r="C27">
        <v>67.709999999999994</v>
      </c>
      <c r="D27">
        <v>64.930000000000007</v>
      </c>
      <c r="E27">
        <v>66.739999999999995</v>
      </c>
      <c r="F27">
        <v>38.58</v>
      </c>
      <c r="G27">
        <v>37159300</v>
      </c>
      <c r="H27" t="str">
        <f t="shared" si="0"/>
        <v>No</v>
      </c>
      <c r="I27" s="3">
        <f t="shared" si="1"/>
        <v>2.8251599147121498E-2</v>
      </c>
    </row>
    <row r="28" spans="1:9" x14ac:dyDescent="0.3">
      <c r="A28" s="1">
        <v>41122</v>
      </c>
      <c r="B28">
        <v>67.12</v>
      </c>
      <c r="C28">
        <v>67.55</v>
      </c>
      <c r="D28">
        <v>65.3</v>
      </c>
      <c r="E28">
        <v>66.73</v>
      </c>
      <c r="F28">
        <v>38.58</v>
      </c>
      <c r="G28">
        <v>39574300</v>
      </c>
      <c r="H28" t="str">
        <f t="shared" si="0"/>
        <v>No</v>
      </c>
      <c r="I28" s="3">
        <f t="shared" si="1"/>
        <v>0</v>
      </c>
    </row>
    <row r="29" spans="1:9" x14ac:dyDescent="0.3">
      <c r="A29" s="1">
        <v>41153</v>
      </c>
      <c r="B29">
        <v>66.739999999999995</v>
      </c>
      <c r="C29">
        <v>69.2</v>
      </c>
      <c r="D29">
        <v>64.59</v>
      </c>
      <c r="E29">
        <v>64.97</v>
      </c>
      <c r="F29">
        <v>37.56</v>
      </c>
      <c r="G29">
        <v>61408400</v>
      </c>
      <c r="H29" t="str">
        <f t="shared" si="0"/>
        <v>No</v>
      </c>
      <c r="I29" s="3">
        <f t="shared" si="1"/>
        <v>-2.6438569206842844E-2</v>
      </c>
    </row>
    <row r="30" spans="1:9" x14ac:dyDescent="0.3">
      <c r="A30" s="1">
        <v>41183</v>
      </c>
      <c r="B30">
        <v>65.099999999999994</v>
      </c>
      <c r="C30">
        <v>66.319999999999993</v>
      </c>
      <c r="D30">
        <v>63.4</v>
      </c>
      <c r="E30">
        <v>64.38</v>
      </c>
      <c r="F30">
        <v>37.51</v>
      </c>
      <c r="G30">
        <v>47588200</v>
      </c>
      <c r="H30" t="str">
        <f t="shared" si="0"/>
        <v>No</v>
      </c>
      <c r="I30" s="3">
        <f t="shared" si="1"/>
        <v>-1.3312034078808432E-3</v>
      </c>
    </row>
    <row r="31" spans="1:9" x14ac:dyDescent="0.3">
      <c r="A31" s="1">
        <v>41214</v>
      </c>
      <c r="B31">
        <v>64.5</v>
      </c>
      <c r="C31">
        <v>65.569999999999993</v>
      </c>
      <c r="D31">
        <v>61.66</v>
      </c>
      <c r="E31">
        <v>64.209999999999994</v>
      </c>
      <c r="F31">
        <v>37.409999999999997</v>
      </c>
      <c r="G31">
        <v>54429400</v>
      </c>
      <c r="H31" t="str">
        <f t="shared" si="0"/>
        <v>No</v>
      </c>
      <c r="I31" s="3">
        <f t="shared" si="1"/>
        <v>-2.6659557451346183E-3</v>
      </c>
    </row>
    <row r="32" spans="1:9" x14ac:dyDescent="0.3">
      <c r="A32" s="1">
        <v>41244</v>
      </c>
      <c r="B32">
        <v>64.48</v>
      </c>
      <c r="C32">
        <v>66.56</v>
      </c>
      <c r="D32">
        <v>64.13</v>
      </c>
      <c r="E32">
        <v>65.8</v>
      </c>
      <c r="F32">
        <v>38.340000000000003</v>
      </c>
      <c r="G32">
        <v>50012600</v>
      </c>
      <c r="H32" t="str">
        <f t="shared" si="0"/>
        <v>No</v>
      </c>
      <c r="I32" s="3">
        <f t="shared" si="1"/>
        <v>2.485966319166022E-2</v>
      </c>
    </row>
    <row r="33" spans="1:9" x14ac:dyDescent="0.3">
      <c r="A33" s="1">
        <v>41275</v>
      </c>
      <c r="B33">
        <v>66.930000000000007</v>
      </c>
      <c r="C33">
        <v>69.33</v>
      </c>
      <c r="D33">
        <v>66.209999999999994</v>
      </c>
      <c r="E33">
        <v>68.260000000000005</v>
      </c>
      <c r="F33">
        <v>40.26</v>
      </c>
      <c r="G33">
        <v>51706400</v>
      </c>
      <c r="H33" t="str">
        <f t="shared" si="0"/>
        <v>No</v>
      </c>
      <c r="I33" s="3">
        <f t="shared" si="1"/>
        <v>5.0078247261345687E-2</v>
      </c>
    </row>
    <row r="34" spans="1:9" x14ac:dyDescent="0.3">
      <c r="A34" s="1">
        <v>41306</v>
      </c>
      <c r="B34">
        <v>68.62</v>
      </c>
      <c r="C34">
        <v>70.069999999999993</v>
      </c>
      <c r="D34">
        <v>68.03</v>
      </c>
      <c r="E34">
        <v>69.09</v>
      </c>
      <c r="F34">
        <v>40.75</v>
      </c>
      <c r="G34">
        <v>50827200</v>
      </c>
      <c r="H34" t="str">
        <f t="shared" ref="H34:H65" si="2">IF(ISNUMBER(SEARCH("Dividend",B34)),"Yes","No")</f>
        <v>No</v>
      </c>
      <c r="I34" s="3">
        <f t="shared" si="1"/>
        <v>1.2170889220069592E-2</v>
      </c>
    </row>
    <row r="35" spans="1:9" x14ac:dyDescent="0.3">
      <c r="A35" s="1">
        <v>41334</v>
      </c>
      <c r="B35">
        <v>68.91</v>
      </c>
      <c r="C35">
        <v>70.739999999999995</v>
      </c>
      <c r="D35">
        <v>68.56</v>
      </c>
      <c r="E35">
        <v>70.53</v>
      </c>
      <c r="F35">
        <v>41.6</v>
      </c>
      <c r="G35">
        <v>50762200</v>
      </c>
      <c r="H35" t="str">
        <f t="shared" si="2"/>
        <v>No</v>
      </c>
      <c r="I35" s="3">
        <f t="shared" si="1"/>
        <v>2.0858895705521574E-2</v>
      </c>
    </row>
    <row r="36" spans="1:9" x14ac:dyDescent="0.3">
      <c r="A36" s="1">
        <v>41365</v>
      </c>
      <c r="B36">
        <v>70.66</v>
      </c>
      <c r="C36">
        <v>75.290000000000006</v>
      </c>
      <c r="D36">
        <v>70.11</v>
      </c>
      <c r="E36">
        <v>75.28</v>
      </c>
      <c r="F36">
        <v>44.74</v>
      </c>
      <c r="G36">
        <v>53433200</v>
      </c>
      <c r="H36" t="str">
        <f t="shared" si="2"/>
        <v>No</v>
      </c>
      <c r="I36" s="3">
        <f t="shared" si="1"/>
        <v>7.5480769230769296E-2</v>
      </c>
    </row>
    <row r="37" spans="1:9" x14ac:dyDescent="0.3">
      <c r="A37" s="1">
        <v>41395</v>
      </c>
      <c r="B37">
        <v>75.39</v>
      </c>
      <c r="C37">
        <v>78.86</v>
      </c>
      <c r="D37">
        <v>70.75</v>
      </c>
      <c r="E37">
        <v>70.78</v>
      </c>
      <c r="F37">
        <v>42.07</v>
      </c>
      <c r="G37">
        <v>72839000</v>
      </c>
      <c r="H37" t="str">
        <f t="shared" si="2"/>
        <v>No</v>
      </c>
      <c r="I37" s="3">
        <f t="shared" si="1"/>
        <v>-5.9678140366562382E-2</v>
      </c>
    </row>
    <row r="38" spans="1:9" x14ac:dyDescent="0.3">
      <c r="A38" s="1">
        <v>41426</v>
      </c>
      <c r="B38">
        <v>70.760000000000005</v>
      </c>
      <c r="C38">
        <v>71.5</v>
      </c>
      <c r="D38">
        <v>64.28</v>
      </c>
      <c r="E38">
        <v>68.72</v>
      </c>
      <c r="F38">
        <v>40.840000000000003</v>
      </c>
      <c r="G38">
        <v>110962000</v>
      </c>
      <c r="H38" t="str">
        <f t="shared" si="2"/>
        <v>No</v>
      </c>
      <c r="I38" s="3">
        <f t="shared" si="1"/>
        <v>-2.9236985975754637E-2</v>
      </c>
    </row>
    <row r="39" spans="1:9" x14ac:dyDescent="0.3">
      <c r="A39" s="1">
        <v>41456</v>
      </c>
      <c r="B39">
        <v>69.260000000000005</v>
      </c>
      <c r="C39">
        <v>72.86</v>
      </c>
      <c r="D39">
        <v>67.37</v>
      </c>
      <c r="E39">
        <v>69.34</v>
      </c>
      <c r="F39">
        <v>41.61</v>
      </c>
      <c r="G39">
        <v>58248800</v>
      </c>
      <c r="H39" t="str">
        <f t="shared" si="2"/>
        <v>No</v>
      </c>
      <c r="I39" s="3">
        <f t="shared" si="1"/>
        <v>1.8854064642507273E-2</v>
      </c>
    </row>
    <row r="40" spans="1:9" x14ac:dyDescent="0.3">
      <c r="A40" s="1">
        <v>41487</v>
      </c>
      <c r="B40">
        <v>69.61</v>
      </c>
      <c r="C40">
        <v>69.81</v>
      </c>
      <c r="D40">
        <v>63.47</v>
      </c>
      <c r="E40">
        <v>64.5</v>
      </c>
      <c r="F40">
        <v>38.700000000000003</v>
      </c>
      <c r="G40">
        <v>70399600</v>
      </c>
      <c r="H40" t="str">
        <f t="shared" si="2"/>
        <v>No</v>
      </c>
      <c r="I40" s="3">
        <f t="shared" si="1"/>
        <v>-6.9935111751982637E-2</v>
      </c>
    </row>
    <row r="41" spans="1:9" x14ac:dyDescent="0.3">
      <c r="A41" s="1">
        <v>41518</v>
      </c>
      <c r="B41">
        <v>64.75</v>
      </c>
      <c r="C41">
        <v>70.069999999999993</v>
      </c>
      <c r="D41">
        <v>63.4</v>
      </c>
      <c r="E41">
        <v>66.14</v>
      </c>
      <c r="F41">
        <v>39.68</v>
      </c>
      <c r="G41">
        <v>73282700</v>
      </c>
      <c r="H41" t="str">
        <f t="shared" si="2"/>
        <v>No</v>
      </c>
      <c r="I41" s="3">
        <f t="shared" si="1"/>
        <v>2.532299741602051E-2</v>
      </c>
    </row>
    <row r="42" spans="1:9" x14ac:dyDescent="0.3">
      <c r="A42" s="1">
        <v>41548</v>
      </c>
      <c r="B42">
        <v>66.150000000000006</v>
      </c>
      <c r="C42">
        <v>71.13</v>
      </c>
      <c r="D42">
        <v>65.400000000000006</v>
      </c>
      <c r="E42">
        <v>69.13</v>
      </c>
      <c r="F42">
        <v>41.86</v>
      </c>
      <c r="G42">
        <v>69727000</v>
      </c>
      <c r="H42" t="str">
        <f t="shared" si="2"/>
        <v>No</v>
      </c>
      <c r="I42" s="3">
        <f t="shared" si="1"/>
        <v>5.4939516129032251E-2</v>
      </c>
    </row>
    <row r="43" spans="1:9" x14ac:dyDescent="0.3">
      <c r="A43" s="1">
        <v>41579</v>
      </c>
      <c r="B43">
        <v>69.41</v>
      </c>
      <c r="C43">
        <v>69.95</v>
      </c>
      <c r="D43">
        <v>65.400000000000006</v>
      </c>
      <c r="E43">
        <v>65.5</v>
      </c>
      <c r="F43">
        <v>39.659999999999997</v>
      </c>
      <c r="G43">
        <v>52018700</v>
      </c>
      <c r="H43" t="str">
        <f t="shared" si="2"/>
        <v>No</v>
      </c>
      <c r="I43" s="3">
        <f t="shared" si="1"/>
        <v>-5.255613951266136E-2</v>
      </c>
    </row>
    <row r="44" spans="1:9" x14ac:dyDescent="0.3">
      <c r="A44" s="1">
        <v>41609</v>
      </c>
      <c r="B44">
        <v>65.430000000000007</v>
      </c>
      <c r="C44">
        <v>66.510000000000005</v>
      </c>
      <c r="D44">
        <v>63.96</v>
      </c>
      <c r="E44">
        <v>64.56</v>
      </c>
      <c r="F44">
        <v>39.090000000000003</v>
      </c>
      <c r="G44">
        <v>66444700</v>
      </c>
      <c r="H44" t="str">
        <f t="shared" si="2"/>
        <v>No</v>
      </c>
      <c r="I44" s="3">
        <f t="shared" si="1"/>
        <v>-1.4372163388804648E-2</v>
      </c>
    </row>
    <row r="45" spans="1:9" x14ac:dyDescent="0.3">
      <c r="A45" s="1">
        <v>41640</v>
      </c>
      <c r="B45">
        <v>64.28</v>
      </c>
      <c r="C45">
        <v>67.62</v>
      </c>
      <c r="D45">
        <v>64.05</v>
      </c>
      <c r="E45">
        <v>67.319999999999993</v>
      </c>
      <c r="F45">
        <v>41.4</v>
      </c>
      <c r="G45">
        <v>68138100</v>
      </c>
      <c r="H45" t="str">
        <f t="shared" si="2"/>
        <v>No</v>
      </c>
      <c r="I45" s="3">
        <f t="shared" si="1"/>
        <v>5.9094397544128707E-2</v>
      </c>
    </row>
    <row r="46" spans="1:9" x14ac:dyDescent="0.3">
      <c r="A46" s="1">
        <v>41671</v>
      </c>
      <c r="B46">
        <v>67.22</v>
      </c>
      <c r="C46">
        <v>70.989999999999995</v>
      </c>
      <c r="D46">
        <v>65.989999999999995</v>
      </c>
      <c r="E46">
        <v>70.73</v>
      </c>
      <c r="F46">
        <v>43.5</v>
      </c>
      <c r="G46">
        <v>82899000</v>
      </c>
      <c r="H46" t="str">
        <f t="shared" si="2"/>
        <v>No</v>
      </c>
      <c r="I46" s="3">
        <f t="shared" si="1"/>
        <v>5.0724637681159424E-2</v>
      </c>
    </row>
    <row r="47" spans="1:9" x14ac:dyDescent="0.3">
      <c r="A47" s="1">
        <v>41699</v>
      </c>
      <c r="B47">
        <v>70.290000000000006</v>
      </c>
      <c r="C47">
        <v>72.010000000000005</v>
      </c>
      <c r="D47">
        <v>68.790000000000006</v>
      </c>
      <c r="E47">
        <v>70.62</v>
      </c>
      <c r="F47">
        <v>43.43</v>
      </c>
      <c r="G47">
        <v>80879900</v>
      </c>
      <c r="H47" t="str">
        <f t="shared" si="2"/>
        <v>No</v>
      </c>
      <c r="I47" s="3">
        <f t="shared" si="1"/>
        <v>-1.6091954022988686E-3</v>
      </c>
    </row>
    <row r="48" spans="1:9" x14ac:dyDescent="0.3">
      <c r="A48" s="1">
        <v>41730</v>
      </c>
      <c r="B48">
        <v>70.77</v>
      </c>
      <c r="C48">
        <v>72.989999999999995</v>
      </c>
      <c r="D48">
        <v>70.13</v>
      </c>
      <c r="E48">
        <v>72.94</v>
      </c>
      <c r="F48">
        <v>45.15</v>
      </c>
      <c r="G48">
        <v>68785200</v>
      </c>
      <c r="H48" t="str">
        <f t="shared" si="2"/>
        <v>No</v>
      </c>
      <c r="I48" s="3">
        <f t="shared" si="1"/>
        <v>3.9603960396039639E-2</v>
      </c>
    </row>
    <row r="49" spans="1:9" x14ac:dyDescent="0.3">
      <c r="A49" s="1">
        <v>41760</v>
      </c>
      <c r="B49">
        <v>73.06</v>
      </c>
      <c r="C49">
        <v>75.02</v>
      </c>
      <c r="D49">
        <v>72.31</v>
      </c>
      <c r="E49">
        <v>74.69</v>
      </c>
      <c r="F49">
        <v>46.23</v>
      </c>
      <c r="G49">
        <v>59941900</v>
      </c>
      <c r="H49" t="str">
        <f t="shared" si="2"/>
        <v>No</v>
      </c>
      <c r="I49" s="3">
        <f t="shared" si="1"/>
        <v>2.392026578073092E-2</v>
      </c>
    </row>
    <row r="50" spans="1:9" x14ac:dyDescent="0.3">
      <c r="A50" s="1">
        <v>41791</v>
      </c>
      <c r="B50">
        <v>74.92</v>
      </c>
      <c r="C50">
        <v>76.77</v>
      </c>
      <c r="D50">
        <v>73.650000000000006</v>
      </c>
      <c r="E50">
        <v>74.84</v>
      </c>
      <c r="F50">
        <v>46.32</v>
      </c>
      <c r="G50">
        <v>65971500</v>
      </c>
      <c r="H50" t="str">
        <f t="shared" si="2"/>
        <v>No</v>
      </c>
      <c r="I50" s="3">
        <f t="shared" si="1"/>
        <v>1.9467878001298011E-3</v>
      </c>
    </row>
    <row r="51" spans="1:9" x14ac:dyDescent="0.3">
      <c r="A51" s="1">
        <v>41821</v>
      </c>
      <c r="B51">
        <v>74.89</v>
      </c>
      <c r="C51">
        <v>76.88</v>
      </c>
      <c r="D51">
        <v>74.31</v>
      </c>
      <c r="E51">
        <v>74.900000000000006</v>
      </c>
      <c r="F51">
        <v>46.79</v>
      </c>
      <c r="G51">
        <v>59277200</v>
      </c>
      <c r="H51" t="str">
        <f t="shared" si="2"/>
        <v>No</v>
      </c>
      <c r="I51" s="3">
        <f t="shared" si="1"/>
        <v>1.0146804835923895E-2</v>
      </c>
    </row>
    <row r="52" spans="1:9" x14ac:dyDescent="0.3">
      <c r="A52" s="1">
        <v>41852</v>
      </c>
      <c r="B52">
        <v>74.89</v>
      </c>
      <c r="C52">
        <v>77.84</v>
      </c>
      <c r="D52">
        <v>74</v>
      </c>
      <c r="E52">
        <v>77.180000000000007</v>
      </c>
      <c r="F52">
        <v>48.22</v>
      </c>
      <c r="G52">
        <v>47424400</v>
      </c>
      <c r="H52" t="str">
        <f t="shared" si="2"/>
        <v>No</v>
      </c>
      <c r="I52" s="3">
        <f t="shared" si="1"/>
        <v>3.0562085915794013E-2</v>
      </c>
    </row>
    <row r="53" spans="1:9" x14ac:dyDescent="0.3">
      <c r="A53" s="1">
        <v>41883</v>
      </c>
      <c r="B53">
        <v>77.05</v>
      </c>
      <c r="C53">
        <v>78.08</v>
      </c>
      <c r="D53">
        <v>71.09</v>
      </c>
      <c r="E53">
        <v>71.849999999999994</v>
      </c>
      <c r="F53">
        <v>44.89</v>
      </c>
      <c r="G53">
        <v>75046600</v>
      </c>
      <c r="H53" t="str">
        <f t="shared" si="2"/>
        <v>No</v>
      </c>
      <c r="I53" s="3">
        <f t="shared" si="1"/>
        <v>-6.9058481957693818E-2</v>
      </c>
    </row>
    <row r="54" spans="1:9" x14ac:dyDescent="0.3">
      <c r="A54" s="1">
        <v>41913</v>
      </c>
      <c r="B54">
        <v>71.599999999999994</v>
      </c>
      <c r="C54">
        <v>79.05</v>
      </c>
      <c r="D54">
        <v>71.319999999999993</v>
      </c>
      <c r="E54">
        <v>78.989999999999995</v>
      </c>
      <c r="F54">
        <v>49.81</v>
      </c>
      <c r="G54">
        <v>93672300</v>
      </c>
      <c r="H54" t="str">
        <f t="shared" si="2"/>
        <v>No</v>
      </c>
      <c r="I54" s="3">
        <f t="shared" si="1"/>
        <v>0.1096012474938739</v>
      </c>
    </row>
    <row r="55" spans="1:9" x14ac:dyDescent="0.3">
      <c r="A55" s="1">
        <v>41944</v>
      </c>
      <c r="B55">
        <v>79.03</v>
      </c>
      <c r="C55">
        <v>81.44</v>
      </c>
      <c r="D55">
        <v>78.06</v>
      </c>
      <c r="E55">
        <v>80.569999999999993</v>
      </c>
      <c r="F55">
        <v>50.8</v>
      </c>
      <c r="G55">
        <v>58834200</v>
      </c>
      <c r="H55" t="str">
        <f t="shared" si="2"/>
        <v>No</v>
      </c>
      <c r="I55" s="3">
        <f t="shared" si="1"/>
        <v>1.9875527002609861E-2</v>
      </c>
    </row>
    <row r="56" spans="1:9" x14ac:dyDescent="0.3">
      <c r="A56" s="1">
        <v>41974</v>
      </c>
      <c r="B56">
        <v>80.5</v>
      </c>
      <c r="C56">
        <v>83.09</v>
      </c>
      <c r="D56">
        <v>79.17</v>
      </c>
      <c r="E56">
        <v>81</v>
      </c>
      <c r="F56">
        <v>51.07</v>
      </c>
      <c r="G56">
        <v>92391000</v>
      </c>
      <c r="H56" t="str">
        <f t="shared" si="2"/>
        <v>No</v>
      </c>
      <c r="I56" s="3">
        <f t="shared" si="1"/>
        <v>5.314960629921428E-3</v>
      </c>
    </row>
    <row r="57" spans="1:9" x14ac:dyDescent="0.3">
      <c r="A57" s="1">
        <v>42005</v>
      </c>
      <c r="B57">
        <v>81.7</v>
      </c>
      <c r="C57">
        <v>89.27</v>
      </c>
      <c r="D57">
        <v>81.34</v>
      </c>
      <c r="E57">
        <v>86.55</v>
      </c>
      <c r="F57">
        <v>55.32</v>
      </c>
      <c r="G57">
        <v>98662800</v>
      </c>
      <c r="H57" t="str">
        <f t="shared" si="2"/>
        <v>No</v>
      </c>
      <c r="I57" s="3">
        <f t="shared" si="1"/>
        <v>8.3219111024084524E-2</v>
      </c>
    </row>
    <row r="58" spans="1:9" x14ac:dyDescent="0.3">
      <c r="A58" s="1">
        <v>42036</v>
      </c>
      <c r="B58">
        <v>86.53</v>
      </c>
      <c r="C58">
        <v>87.79</v>
      </c>
      <c r="D58">
        <v>82.43</v>
      </c>
      <c r="E58">
        <v>83.37</v>
      </c>
      <c r="F58">
        <v>53.28</v>
      </c>
      <c r="G58">
        <v>95072700</v>
      </c>
      <c r="H58" t="str">
        <f t="shared" si="2"/>
        <v>No</v>
      </c>
      <c r="I58" s="3">
        <f t="shared" si="1"/>
        <v>-3.6876355748373113E-2</v>
      </c>
    </row>
    <row r="59" spans="1:9" x14ac:dyDescent="0.3">
      <c r="A59" s="1">
        <v>42064</v>
      </c>
      <c r="B59">
        <v>83.58</v>
      </c>
      <c r="C59">
        <v>87.61</v>
      </c>
      <c r="D59">
        <v>80.22</v>
      </c>
      <c r="E59">
        <v>84.31</v>
      </c>
      <c r="F59">
        <v>53.89</v>
      </c>
      <c r="G59">
        <v>99575200</v>
      </c>
      <c r="H59" t="str">
        <f t="shared" si="2"/>
        <v>No</v>
      </c>
      <c r="I59" s="3">
        <f t="shared" si="1"/>
        <v>1.1448948948948878E-2</v>
      </c>
    </row>
    <row r="60" spans="1:9" x14ac:dyDescent="0.3">
      <c r="A60" s="1">
        <v>42095</v>
      </c>
      <c r="B60">
        <v>84.37</v>
      </c>
      <c r="C60">
        <v>86</v>
      </c>
      <c r="D60">
        <v>78.89</v>
      </c>
      <c r="E60">
        <v>79.38</v>
      </c>
      <c r="F60">
        <v>51.04</v>
      </c>
      <c r="G60">
        <v>81097900</v>
      </c>
      <c r="H60" t="str">
        <f t="shared" si="2"/>
        <v>No</v>
      </c>
      <c r="I60" s="3">
        <f t="shared" si="1"/>
        <v>-5.288550751530896E-2</v>
      </c>
    </row>
    <row r="61" spans="1:9" x14ac:dyDescent="0.3">
      <c r="A61" s="1">
        <v>42125</v>
      </c>
      <c r="B61">
        <v>79.47</v>
      </c>
      <c r="C61">
        <v>81.569999999999993</v>
      </c>
      <c r="D61">
        <v>77.72</v>
      </c>
      <c r="E61">
        <v>79.14</v>
      </c>
      <c r="F61">
        <v>50.88</v>
      </c>
      <c r="G61">
        <v>88165300</v>
      </c>
      <c r="H61" t="str">
        <f t="shared" si="2"/>
        <v>No</v>
      </c>
      <c r="I61" s="3">
        <f t="shared" si="1"/>
        <v>-3.1347962382444194E-3</v>
      </c>
    </row>
    <row r="62" spans="1:9" x14ac:dyDescent="0.3">
      <c r="A62" s="1">
        <v>42156</v>
      </c>
      <c r="B62">
        <v>79.39</v>
      </c>
      <c r="C62">
        <v>80.260000000000005</v>
      </c>
      <c r="D62">
        <v>74.5</v>
      </c>
      <c r="E62">
        <v>74.69</v>
      </c>
      <c r="F62">
        <v>48.02</v>
      </c>
      <c r="G62">
        <v>101210400</v>
      </c>
      <c r="H62" t="str">
        <f t="shared" si="2"/>
        <v>No</v>
      </c>
      <c r="I62" s="3">
        <f t="shared" si="1"/>
        <v>-5.6210691823899372E-2</v>
      </c>
    </row>
    <row r="63" spans="1:9" x14ac:dyDescent="0.3">
      <c r="A63" s="1">
        <v>42186</v>
      </c>
      <c r="B63">
        <v>74.38</v>
      </c>
      <c r="C63">
        <v>79.63</v>
      </c>
      <c r="D63">
        <v>74.36</v>
      </c>
      <c r="E63">
        <v>79</v>
      </c>
      <c r="F63">
        <v>51.31</v>
      </c>
      <c r="G63">
        <v>83202000</v>
      </c>
      <c r="H63" t="str">
        <f t="shared" si="2"/>
        <v>No</v>
      </c>
      <c r="I63" s="3">
        <f t="shared" si="1"/>
        <v>6.8513119533527567E-2</v>
      </c>
    </row>
    <row r="64" spans="1:9" x14ac:dyDescent="0.3">
      <c r="A64" s="1">
        <v>42217</v>
      </c>
      <c r="B64">
        <v>79.27</v>
      </c>
      <c r="C64">
        <v>80.83</v>
      </c>
      <c r="D64">
        <v>72.25</v>
      </c>
      <c r="E64">
        <v>74.03</v>
      </c>
      <c r="F64">
        <v>48.08</v>
      </c>
      <c r="G64">
        <v>91513100</v>
      </c>
      <c r="H64" t="str">
        <f t="shared" si="2"/>
        <v>No</v>
      </c>
      <c r="I64" s="3">
        <f t="shared" si="1"/>
        <v>-6.2950691872929343E-2</v>
      </c>
    </row>
    <row r="65" spans="1:9" x14ac:dyDescent="0.3">
      <c r="A65" s="1">
        <v>42248</v>
      </c>
      <c r="B65">
        <v>73.290000000000006</v>
      </c>
      <c r="C65">
        <v>77.739999999999995</v>
      </c>
      <c r="D65">
        <v>71.67</v>
      </c>
      <c r="E65">
        <v>75.540000000000006</v>
      </c>
      <c r="F65">
        <v>49.06</v>
      </c>
      <c r="G65">
        <v>87292500</v>
      </c>
      <c r="H65" t="str">
        <f t="shared" si="2"/>
        <v>No</v>
      </c>
      <c r="I65" s="3">
        <f t="shared" si="1"/>
        <v>2.0382695507487503E-2</v>
      </c>
    </row>
    <row r="66" spans="1:9" x14ac:dyDescent="0.3">
      <c r="A66" s="1">
        <v>42278</v>
      </c>
      <c r="B66">
        <v>75.66</v>
      </c>
      <c r="C66">
        <v>81.77</v>
      </c>
      <c r="D66">
        <v>75.040000000000006</v>
      </c>
      <c r="E66">
        <v>79.89</v>
      </c>
      <c r="F66">
        <v>52.4</v>
      </c>
      <c r="G66">
        <v>84705000</v>
      </c>
      <c r="H66" t="str">
        <f t="shared" ref="H66:H97" si="3">IF(ISNUMBER(SEARCH("Dividend",B66)),"Yes","No")</f>
        <v>No</v>
      </c>
      <c r="I66" s="3">
        <f t="shared" si="1"/>
        <v>6.8079902160619543E-2</v>
      </c>
    </row>
    <row r="67" spans="1:9" x14ac:dyDescent="0.3">
      <c r="A67" s="1">
        <v>42309</v>
      </c>
      <c r="B67">
        <v>80.069999999999993</v>
      </c>
      <c r="C67">
        <v>81.599999999999994</v>
      </c>
      <c r="D67">
        <v>76.12</v>
      </c>
      <c r="E67">
        <v>79.39</v>
      </c>
      <c r="F67">
        <v>52.08</v>
      </c>
      <c r="G67">
        <v>80265400</v>
      </c>
      <c r="H67" t="str">
        <f t="shared" si="3"/>
        <v>No</v>
      </c>
      <c r="I67" s="3">
        <f t="shared" si="1"/>
        <v>-6.1068702290076882E-3</v>
      </c>
    </row>
    <row r="68" spans="1:9" x14ac:dyDescent="0.3">
      <c r="A68" s="1">
        <v>42339</v>
      </c>
      <c r="B68">
        <v>79.5</v>
      </c>
      <c r="C68">
        <v>80.91</v>
      </c>
      <c r="D68">
        <v>77.069999999999993</v>
      </c>
      <c r="E68">
        <v>79.73</v>
      </c>
      <c r="F68">
        <v>52.3</v>
      </c>
      <c r="G68">
        <v>91975000</v>
      </c>
      <c r="H68" t="str">
        <f t="shared" si="3"/>
        <v>No</v>
      </c>
      <c r="I68" s="3">
        <f t="shared" ref="I68:I131" si="4">(F68/F67)-1</f>
        <v>4.2242703533026393E-3</v>
      </c>
    </row>
    <row r="69" spans="1:9" x14ac:dyDescent="0.3">
      <c r="A69" s="1">
        <v>42370</v>
      </c>
      <c r="B69">
        <v>79.069999999999993</v>
      </c>
      <c r="C69">
        <v>80.540000000000006</v>
      </c>
      <c r="D69">
        <v>72.33</v>
      </c>
      <c r="E69">
        <v>76.989999999999995</v>
      </c>
      <c r="F69">
        <v>51.21</v>
      </c>
      <c r="G69">
        <v>118618300</v>
      </c>
      <c r="H69" t="str">
        <f t="shared" si="3"/>
        <v>No</v>
      </c>
      <c r="I69" s="3">
        <f t="shared" si="4"/>
        <v>-2.0841300191204559E-2</v>
      </c>
    </row>
    <row r="70" spans="1:9" x14ac:dyDescent="0.3">
      <c r="A70" s="1">
        <v>42401</v>
      </c>
      <c r="B70">
        <v>76.52</v>
      </c>
      <c r="C70">
        <v>77.78</v>
      </c>
      <c r="D70">
        <v>70.89</v>
      </c>
      <c r="E70">
        <v>76.709999999999994</v>
      </c>
      <c r="F70">
        <v>51.02</v>
      </c>
      <c r="G70">
        <v>88688200</v>
      </c>
      <c r="H70" t="str">
        <f t="shared" si="3"/>
        <v>No</v>
      </c>
      <c r="I70" s="3">
        <f t="shared" si="4"/>
        <v>-3.7102128490529296E-3</v>
      </c>
    </row>
    <row r="71" spans="1:9" x14ac:dyDescent="0.3">
      <c r="A71" s="1">
        <v>42430</v>
      </c>
      <c r="B71">
        <v>76.78</v>
      </c>
      <c r="C71">
        <v>83.91</v>
      </c>
      <c r="D71">
        <v>76.64</v>
      </c>
      <c r="E71">
        <v>83.8</v>
      </c>
      <c r="F71">
        <v>55.74</v>
      </c>
      <c r="G71">
        <v>80968400</v>
      </c>
      <c r="H71" t="str">
        <f t="shared" si="3"/>
        <v>No</v>
      </c>
      <c r="I71" s="3">
        <f t="shared" si="4"/>
        <v>9.2512740101920787E-2</v>
      </c>
    </row>
    <row r="72" spans="1:9" x14ac:dyDescent="0.3">
      <c r="A72" s="1">
        <v>42461</v>
      </c>
      <c r="B72">
        <v>83.63</v>
      </c>
      <c r="C72">
        <v>84.01</v>
      </c>
      <c r="D72">
        <v>80.680000000000007</v>
      </c>
      <c r="E72">
        <v>81.83</v>
      </c>
      <c r="F72">
        <v>55.04</v>
      </c>
      <c r="G72">
        <v>70280400</v>
      </c>
      <c r="H72" t="str">
        <f t="shared" si="3"/>
        <v>No</v>
      </c>
      <c r="I72" s="3">
        <f t="shared" si="4"/>
        <v>-1.2558306422676746E-2</v>
      </c>
    </row>
    <row r="73" spans="1:9" x14ac:dyDescent="0.3">
      <c r="A73" s="1">
        <v>42491</v>
      </c>
      <c r="B73">
        <v>81.78</v>
      </c>
      <c r="C73">
        <v>86.82</v>
      </c>
      <c r="D73">
        <v>80.959999999999994</v>
      </c>
      <c r="E73">
        <v>83.67</v>
      </c>
      <c r="F73">
        <v>56.27</v>
      </c>
      <c r="G73">
        <v>78273300</v>
      </c>
      <c r="H73" t="str">
        <f t="shared" si="3"/>
        <v>No</v>
      </c>
      <c r="I73" s="3">
        <f t="shared" si="4"/>
        <v>2.2347383720930258E-2</v>
      </c>
    </row>
    <row r="74" spans="1:9" x14ac:dyDescent="0.3">
      <c r="A74" s="1">
        <v>42522</v>
      </c>
      <c r="B74">
        <v>83.38</v>
      </c>
      <c r="C74">
        <v>88.67</v>
      </c>
      <c r="D74">
        <v>83.29</v>
      </c>
      <c r="E74">
        <v>88.67</v>
      </c>
      <c r="F74">
        <v>59.64</v>
      </c>
      <c r="G74">
        <v>88715800</v>
      </c>
      <c r="H74" t="str">
        <f t="shared" si="3"/>
        <v>No</v>
      </c>
      <c r="I74" s="3">
        <f t="shared" si="4"/>
        <v>5.9889816953971886E-2</v>
      </c>
    </row>
    <row r="75" spans="1:9" x14ac:dyDescent="0.3">
      <c r="A75" s="1">
        <v>42552</v>
      </c>
      <c r="B75">
        <v>88.97</v>
      </c>
      <c r="C75">
        <v>92.92</v>
      </c>
      <c r="D75">
        <v>87.88</v>
      </c>
      <c r="E75">
        <v>92.45</v>
      </c>
      <c r="F75">
        <v>62.74</v>
      </c>
      <c r="G75">
        <v>66045800</v>
      </c>
      <c r="H75" t="str">
        <f t="shared" si="3"/>
        <v>No</v>
      </c>
      <c r="I75" s="3">
        <f t="shared" si="4"/>
        <v>5.1978537894030952E-2</v>
      </c>
    </row>
    <row r="76" spans="1:9" x14ac:dyDescent="0.3">
      <c r="A76" s="1">
        <v>42583</v>
      </c>
      <c r="B76">
        <v>92.33</v>
      </c>
      <c r="C76">
        <v>92.75</v>
      </c>
      <c r="D76">
        <v>87.59</v>
      </c>
      <c r="E76">
        <v>88.97</v>
      </c>
      <c r="F76">
        <v>60.38</v>
      </c>
      <c r="G76">
        <v>92169700</v>
      </c>
      <c r="H76" t="str">
        <f t="shared" si="3"/>
        <v>No</v>
      </c>
      <c r="I76" s="3">
        <f t="shared" si="4"/>
        <v>-3.7615556263946415E-2</v>
      </c>
    </row>
    <row r="77" spans="1:9" x14ac:dyDescent="0.3">
      <c r="A77" s="1">
        <v>42614</v>
      </c>
      <c r="B77">
        <v>89.07</v>
      </c>
      <c r="C77">
        <v>90.8</v>
      </c>
      <c r="D77">
        <v>84.13</v>
      </c>
      <c r="E77">
        <v>86.74</v>
      </c>
      <c r="F77">
        <v>58.86</v>
      </c>
      <c r="G77">
        <v>102158400</v>
      </c>
      <c r="H77" t="str">
        <f t="shared" si="3"/>
        <v>No</v>
      </c>
      <c r="I77" s="3">
        <f t="shared" si="4"/>
        <v>-2.5173898641934422E-2</v>
      </c>
    </row>
    <row r="78" spans="1:9" x14ac:dyDescent="0.3">
      <c r="A78" s="1">
        <v>42644</v>
      </c>
      <c r="B78">
        <v>86.01</v>
      </c>
      <c r="C78">
        <v>86.29</v>
      </c>
      <c r="D78">
        <v>80.040000000000006</v>
      </c>
      <c r="E78">
        <v>81.760000000000005</v>
      </c>
      <c r="F78">
        <v>55.87</v>
      </c>
      <c r="G78">
        <v>98264800</v>
      </c>
      <c r="H78" t="str">
        <f t="shared" si="3"/>
        <v>No</v>
      </c>
      <c r="I78" s="3">
        <f t="shared" si="4"/>
        <v>-5.0798504926945376E-2</v>
      </c>
    </row>
    <row r="79" spans="1:9" x14ac:dyDescent="0.3">
      <c r="A79" s="1">
        <v>42675</v>
      </c>
      <c r="B79">
        <v>81.400000000000006</v>
      </c>
      <c r="C79">
        <v>81.73</v>
      </c>
      <c r="D79">
        <v>76.98</v>
      </c>
      <c r="E79">
        <v>80.39</v>
      </c>
      <c r="F79">
        <v>54.93</v>
      </c>
      <c r="G79">
        <v>128388400</v>
      </c>
      <c r="H79" t="str">
        <f t="shared" si="3"/>
        <v>No</v>
      </c>
      <c r="I79" s="3">
        <f t="shared" si="4"/>
        <v>-1.6824771791659199E-2</v>
      </c>
    </row>
    <row r="80" spans="1:9" x14ac:dyDescent="0.3">
      <c r="A80" s="1">
        <v>42705</v>
      </c>
      <c r="B80">
        <v>79.92</v>
      </c>
      <c r="C80">
        <v>84.26</v>
      </c>
      <c r="D80">
        <v>78.760000000000005</v>
      </c>
      <c r="E80">
        <v>82.53</v>
      </c>
      <c r="F80">
        <v>56.39</v>
      </c>
      <c r="G80">
        <v>96180900</v>
      </c>
      <c r="H80" t="str">
        <f t="shared" si="3"/>
        <v>No</v>
      </c>
      <c r="I80" s="3">
        <f t="shared" si="4"/>
        <v>2.6579282723466324E-2</v>
      </c>
    </row>
    <row r="81" spans="1:9" x14ac:dyDescent="0.3">
      <c r="A81" s="1">
        <v>42736</v>
      </c>
      <c r="B81">
        <v>82.98</v>
      </c>
      <c r="C81">
        <v>84.7</v>
      </c>
      <c r="D81">
        <v>81.569999999999993</v>
      </c>
      <c r="E81">
        <v>82.37</v>
      </c>
      <c r="F81">
        <v>57.46</v>
      </c>
      <c r="G81">
        <v>94874600</v>
      </c>
      <c r="H81" t="str">
        <f t="shared" si="3"/>
        <v>No</v>
      </c>
      <c r="I81" s="3">
        <f t="shared" si="4"/>
        <v>1.8974995566589881E-2</v>
      </c>
    </row>
    <row r="82" spans="1:9" x14ac:dyDescent="0.3">
      <c r="A82" s="1">
        <v>42767</v>
      </c>
      <c r="B82">
        <v>82.28</v>
      </c>
      <c r="C82">
        <v>86.16</v>
      </c>
      <c r="D82">
        <v>81.319999999999993</v>
      </c>
      <c r="E82">
        <v>85.26</v>
      </c>
      <c r="F82">
        <v>59.48</v>
      </c>
      <c r="G82">
        <v>70198700</v>
      </c>
      <c r="H82" t="str">
        <f t="shared" si="3"/>
        <v>No</v>
      </c>
      <c r="I82" s="3">
        <f t="shared" si="4"/>
        <v>3.515489035851016E-2</v>
      </c>
    </row>
    <row r="83" spans="1:9" x14ac:dyDescent="0.3">
      <c r="A83" s="1">
        <v>42795</v>
      </c>
      <c r="B83">
        <v>85</v>
      </c>
      <c r="C83">
        <v>85.49</v>
      </c>
      <c r="D83">
        <v>79.98</v>
      </c>
      <c r="E83">
        <v>82.59</v>
      </c>
      <c r="F83">
        <v>57.62</v>
      </c>
      <c r="G83">
        <v>113420100</v>
      </c>
      <c r="H83" t="str">
        <f t="shared" si="3"/>
        <v>No</v>
      </c>
      <c r="I83" s="3">
        <f t="shared" si="4"/>
        <v>-3.1271015467383978E-2</v>
      </c>
    </row>
    <row r="84" spans="1:9" x14ac:dyDescent="0.3">
      <c r="A84" s="1">
        <v>42826</v>
      </c>
      <c r="B84">
        <v>82.36</v>
      </c>
      <c r="C84">
        <v>85.72</v>
      </c>
      <c r="D84">
        <v>82.32</v>
      </c>
      <c r="E84">
        <v>82.79</v>
      </c>
      <c r="F84">
        <v>58.18</v>
      </c>
      <c r="G84">
        <v>81135700</v>
      </c>
      <c r="H84" t="str">
        <f t="shared" si="3"/>
        <v>No</v>
      </c>
      <c r="I84" s="3">
        <f t="shared" si="4"/>
        <v>9.7188476223533105E-3</v>
      </c>
    </row>
    <row r="85" spans="1:9" x14ac:dyDescent="0.3">
      <c r="A85" s="1">
        <v>42856</v>
      </c>
      <c r="B85">
        <v>83.15</v>
      </c>
      <c r="C85">
        <v>83.65</v>
      </c>
      <c r="D85">
        <v>80.7</v>
      </c>
      <c r="E85">
        <v>82.19</v>
      </c>
      <c r="F85">
        <v>57.76</v>
      </c>
      <c r="G85">
        <v>98725200</v>
      </c>
      <c r="H85" t="str">
        <f t="shared" si="3"/>
        <v>No</v>
      </c>
      <c r="I85" s="3">
        <f t="shared" si="4"/>
        <v>-7.2189755929873423E-3</v>
      </c>
    </row>
    <row r="86" spans="1:9" x14ac:dyDescent="0.3">
      <c r="A86" s="1">
        <v>42887</v>
      </c>
      <c r="B86">
        <v>81.96</v>
      </c>
      <c r="C86">
        <v>85.39</v>
      </c>
      <c r="D86">
        <v>81.760000000000005</v>
      </c>
      <c r="E86">
        <v>83.23</v>
      </c>
      <c r="F86">
        <v>58.49</v>
      </c>
      <c r="G86">
        <v>93467200</v>
      </c>
      <c r="H86" t="str">
        <f t="shared" si="3"/>
        <v>No</v>
      </c>
      <c r="I86" s="3">
        <f t="shared" si="4"/>
        <v>1.2638504155124686E-2</v>
      </c>
    </row>
    <row r="87" spans="1:9" x14ac:dyDescent="0.3">
      <c r="A87" s="1">
        <v>42917</v>
      </c>
      <c r="B87">
        <v>83.56</v>
      </c>
      <c r="C87">
        <v>84.73</v>
      </c>
      <c r="D87">
        <v>80.58</v>
      </c>
      <c r="E87">
        <v>84.26</v>
      </c>
      <c r="F87">
        <v>59.78</v>
      </c>
      <c r="G87">
        <v>63756900</v>
      </c>
      <c r="H87" t="str">
        <f t="shared" si="3"/>
        <v>No</v>
      </c>
      <c r="I87" s="3">
        <f t="shared" si="4"/>
        <v>2.2055052145665943E-2</v>
      </c>
    </row>
    <row r="88" spans="1:9" x14ac:dyDescent="0.3">
      <c r="A88" s="1">
        <v>42948</v>
      </c>
      <c r="B88">
        <v>84.52</v>
      </c>
      <c r="C88">
        <v>85</v>
      </c>
      <c r="D88">
        <v>81.73</v>
      </c>
      <c r="E88">
        <v>84.04</v>
      </c>
      <c r="F88">
        <v>59.62</v>
      </c>
      <c r="G88">
        <v>55338900</v>
      </c>
      <c r="H88" t="str">
        <f t="shared" si="3"/>
        <v>No</v>
      </c>
      <c r="I88" s="3">
        <f t="shared" si="4"/>
        <v>-2.6764804282369825E-3</v>
      </c>
    </row>
    <row r="89" spans="1:9" x14ac:dyDescent="0.3">
      <c r="A89" s="1">
        <v>42979</v>
      </c>
      <c r="B89">
        <v>84.06</v>
      </c>
      <c r="C89">
        <v>85.8</v>
      </c>
      <c r="D89">
        <v>82.07</v>
      </c>
      <c r="E89">
        <v>83.09</v>
      </c>
      <c r="F89">
        <v>58.95</v>
      </c>
      <c r="G89">
        <v>70001300</v>
      </c>
      <c r="H89" t="str">
        <f t="shared" si="3"/>
        <v>No</v>
      </c>
      <c r="I89" s="3">
        <f t="shared" si="4"/>
        <v>-1.1237839651123682E-2</v>
      </c>
    </row>
    <row r="90" spans="1:9" x14ac:dyDescent="0.3">
      <c r="A90" s="1">
        <v>43009</v>
      </c>
      <c r="B90">
        <v>83.22</v>
      </c>
      <c r="C90">
        <v>85</v>
      </c>
      <c r="D90">
        <v>81.34</v>
      </c>
      <c r="E90">
        <v>82.2</v>
      </c>
      <c r="F90">
        <v>58.92</v>
      </c>
      <c r="G90">
        <v>71910400</v>
      </c>
      <c r="H90" t="str">
        <f t="shared" si="3"/>
        <v>No</v>
      </c>
      <c r="I90" s="3">
        <f t="shared" si="4"/>
        <v>-5.0890585241736286E-4</v>
      </c>
    </row>
    <row r="91" spans="1:9" x14ac:dyDescent="0.3">
      <c r="A91" s="1">
        <v>43040</v>
      </c>
      <c r="B91">
        <v>82.34</v>
      </c>
      <c r="C91">
        <v>85.48</v>
      </c>
      <c r="D91">
        <v>82.15</v>
      </c>
      <c r="E91">
        <v>84.39</v>
      </c>
      <c r="F91">
        <v>60.49</v>
      </c>
      <c r="G91">
        <v>73385100</v>
      </c>
      <c r="H91" t="str">
        <f t="shared" si="3"/>
        <v>No</v>
      </c>
      <c r="I91" s="3">
        <f t="shared" si="4"/>
        <v>2.6646300067888706E-2</v>
      </c>
    </row>
    <row r="92" spans="1:9" x14ac:dyDescent="0.3">
      <c r="A92" s="1">
        <v>43070</v>
      </c>
      <c r="B92">
        <v>84.49</v>
      </c>
      <c r="C92">
        <v>86.14</v>
      </c>
      <c r="D92">
        <v>81.180000000000007</v>
      </c>
      <c r="E92">
        <v>82.98</v>
      </c>
      <c r="F92">
        <v>59.48</v>
      </c>
      <c r="G92">
        <v>91535200</v>
      </c>
      <c r="H92" t="str">
        <f t="shared" si="3"/>
        <v>No</v>
      </c>
      <c r="I92" s="3">
        <f t="shared" si="4"/>
        <v>-1.6696974706563172E-2</v>
      </c>
    </row>
    <row r="93" spans="1:9" x14ac:dyDescent="0.3">
      <c r="A93" s="1">
        <v>43101</v>
      </c>
      <c r="B93">
        <v>83.04</v>
      </c>
      <c r="C93">
        <v>83.17</v>
      </c>
      <c r="D93">
        <v>77.92</v>
      </c>
      <c r="E93">
        <v>79.45</v>
      </c>
      <c r="F93">
        <v>57.83</v>
      </c>
      <c r="G93">
        <v>113314100</v>
      </c>
      <c r="H93" t="str">
        <f t="shared" si="3"/>
        <v>No</v>
      </c>
      <c r="I93" s="3">
        <f t="shared" si="4"/>
        <v>-2.7740416946872903E-2</v>
      </c>
    </row>
    <row r="94" spans="1:9" x14ac:dyDescent="0.3">
      <c r="A94" s="1">
        <v>43132</v>
      </c>
      <c r="B94">
        <v>79.09</v>
      </c>
      <c r="C94">
        <v>79.739999999999995</v>
      </c>
      <c r="D94">
        <v>72.05</v>
      </c>
      <c r="E94">
        <v>73.349999999999994</v>
      </c>
      <c r="F94">
        <v>53.39</v>
      </c>
      <c r="G94">
        <v>168821800</v>
      </c>
      <c r="H94" t="str">
        <f t="shared" si="3"/>
        <v>No</v>
      </c>
      <c r="I94" s="3">
        <f t="shared" si="4"/>
        <v>-7.6776759467404476E-2</v>
      </c>
    </row>
    <row r="95" spans="1:9" x14ac:dyDescent="0.3">
      <c r="A95" s="1">
        <v>43160</v>
      </c>
      <c r="B95">
        <v>73.19</v>
      </c>
      <c r="C95">
        <v>76.66</v>
      </c>
      <c r="D95">
        <v>72.62</v>
      </c>
      <c r="E95">
        <v>75.47</v>
      </c>
      <c r="F95">
        <v>54.93</v>
      </c>
      <c r="G95">
        <v>141198400</v>
      </c>
      <c r="H95" t="str">
        <f t="shared" si="3"/>
        <v>No</v>
      </c>
      <c r="I95" s="3">
        <f t="shared" si="4"/>
        <v>2.8844352875070145E-2</v>
      </c>
    </row>
    <row r="96" spans="1:9" x14ac:dyDescent="0.3">
      <c r="A96" s="1">
        <v>43191</v>
      </c>
      <c r="B96">
        <v>75.34</v>
      </c>
      <c r="C96">
        <v>76.709999999999994</v>
      </c>
      <c r="D96">
        <v>73.55</v>
      </c>
      <c r="E96">
        <v>76.09</v>
      </c>
      <c r="F96">
        <v>55.92</v>
      </c>
      <c r="G96">
        <v>112218300</v>
      </c>
      <c r="H96" t="str">
        <f t="shared" si="3"/>
        <v>No</v>
      </c>
      <c r="I96" s="3">
        <f t="shared" si="4"/>
        <v>1.8022938285090051E-2</v>
      </c>
    </row>
    <row r="97" spans="1:9" x14ac:dyDescent="0.3">
      <c r="A97" s="1">
        <v>43221</v>
      </c>
      <c r="B97">
        <v>76.08</v>
      </c>
      <c r="C97">
        <v>79.400000000000006</v>
      </c>
      <c r="D97">
        <v>75.5</v>
      </c>
      <c r="E97">
        <v>78.89</v>
      </c>
      <c r="F97">
        <v>57.98</v>
      </c>
      <c r="G97">
        <v>93478400</v>
      </c>
      <c r="H97" t="str">
        <f t="shared" si="3"/>
        <v>No</v>
      </c>
      <c r="I97" s="3">
        <f t="shared" si="4"/>
        <v>3.6838340486408994E-2</v>
      </c>
    </row>
    <row r="98" spans="1:9" x14ac:dyDescent="0.3">
      <c r="A98" s="1">
        <v>43252</v>
      </c>
      <c r="B98">
        <v>78.59</v>
      </c>
      <c r="C98">
        <v>81.8</v>
      </c>
      <c r="D98">
        <v>78.430000000000007</v>
      </c>
      <c r="E98">
        <v>81.45</v>
      </c>
      <c r="F98">
        <v>59.86</v>
      </c>
      <c r="G98">
        <v>115031400</v>
      </c>
      <c r="H98" t="str">
        <f t="shared" ref="H98:H129" si="5">IF(ISNUMBER(SEARCH("Dividend",B98)),"Yes","No")</f>
        <v>No</v>
      </c>
      <c r="I98" s="3">
        <f t="shared" si="4"/>
        <v>3.2424974129010131E-2</v>
      </c>
    </row>
    <row r="99" spans="1:9" x14ac:dyDescent="0.3">
      <c r="A99" s="1">
        <v>43282</v>
      </c>
      <c r="B99">
        <v>81.52</v>
      </c>
      <c r="C99">
        <v>83.16</v>
      </c>
      <c r="D99">
        <v>79.989999999999995</v>
      </c>
      <c r="E99">
        <v>81.94</v>
      </c>
      <c r="F99">
        <v>60.78</v>
      </c>
      <c r="G99">
        <v>107574400</v>
      </c>
      <c r="H99" t="str">
        <f t="shared" si="5"/>
        <v>No</v>
      </c>
      <c r="I99" s="3">
        <f t="shared" si="4"/>
        <v>1.536919478783827E-2</v>
      </c>
    </row>
    <row r="100" spans="1:9" x14ac:dyDescent="0.3">
      <c r="A100" s="1">
        <v>43313</v>
      </c>
      <c r="B100">
        <v>81.349999999999994</v>
      </c>
      <c r="C100">
        <v>84.55</v>
      </c>
      <c r="D100">
        <v>81.13</v>
      </c>
      <c r="E100">
        <v>84.05</v>
      </c>
      <c r="F100">
        <v>62.34</v>
      </c>
      <c r="G100">
        <v>90618000</v>
      </c>
      <c r="H100" t="str">
        <f t="shared" si="5"/>
        <v>No</v>
      </c>
      <c r="I100" s="3">
        <f t="shared" si="4"/>
        <v>2.5666337611056411E-2</v>
      </c>
    </row>
    <row r="101" spans="1:9" x14ac:dyDescent="0.3">
      <c r="A101" s="1">
        <v>43344</v>
      </c>
      <c r="B101">
        <v>83.86</v>
      </c>
      <c r="C101">
        <v>84.07</v>
      </c>
      <c r="D101">
        <v>79.180000000000007</v>
      </c>
      <c r="E101">
        <v>80.680000000000007</v>
      </c>
      <c r="F101">
        <v>59.84</v>
      </c>
      <c r="G101">
        <v>94412300</v>
      </c>
      <c r="H101" t="str">
        <f t="shared" si="5"/>
        <v>No</v>
      </c>
      <c r="I101" s="3">
        <f t="shared" si="4"/>
        <v>-4.0102662816811074E-2</v>
      </c>
    </row>
    <row r="102" spans="1:9" x14ac:dyDescent="0.3">
      <c r="A102" s="1">
        <v>43374</v>
      </c>
      <c r="B102">
        <v>80.599999999999994</v>
      </c>
      <c r="C102">
        <v>80.819999999999993</v>
      </c>
      <c r="D102">
        <v>75.38</v>
      </c>
      <c r="E102">
        <v>78.319999999999993</v>
      </c>
      <c r="F102">
        <v>58.91</v>
      </c>
      <c r="G102">
        <v>168456100</v>
      </c>
      <c r="H102" t="str">
        <f t="shared" si="5"/>
        <v>No</v>
      </c>
      <c r="I102" s="3">
        <f t="shared" si="4"/>
        <v>-1.5541443850267456E-2</v>
      </c>
    </row>
    <row r="103" spans="1:9" x14ac:dyDescent="0.3">
      <c r="A103" s="1">
        <v>43405</v>
      </c>
      <c r="B103">
        <v>78.38</v>
      </c>
      <c r="C103">
        <v>82.05</v>
      </c>
      <c r="D103">
        <v>77.150000000000006</v>
      </c>
      <c r="E103">
        <v>81.98</v>
      </c>
      <c r="F103">
        <v>61.66</v>
      </c>
      <c r="G103">
        <v>114197000</v>
      </c>
      <c r="H103" t="str">
        <f t="shared" si="5"/>
        <v>No</v>
      </c>
      <c r="I103" s="3">
        <f t="shared" si="4"/>
        <v>4.6681378373790494E-2</v>
      </c>
    </row>
    <row r="104" spans="1:9" x14ac:dyDescent="0.3">
      <c r="A104" s="1">
        <v>43435</v>
      </c>
      <c r="B104">
        <v>82.48</v>
      </c>
      <c r="C104">
        <v>83.31</v>
      </c>
      <c r="D104">
        <v>71.08</v>
      </c>
      <c r="E104">
        <v>74.569999999999993</v>
      </c>
      <c r="F104">
        <v>56.09</v>
      </c>
      <c r="G104">
        <v>213633400</v>
      </c>
      <c r="H104" t="str">
        <f t="shared" si="5"/>
        <v>No</v>
      </c>
      <c r="I104" s="3">
        <f t="shared" si="4"/>
        <v>-9.0334090171910408E-2</v>
      </c>
    </row>
    <row r="105" spans="1:9" x14ac:dyDescent="0.3">
      <c r="A105" s="1">
        <v>43466</v>
      </c>
      <c r="B105">
        <v>73.56</v>
      </c>
      <c r="C105">
        <v>83.47</v>
      </c>
      <c r="D105">
        <v>72.53</v>
      </c>
      <c r="E105">
        <v>83.41</v>
      </c>
      <c r="F105">
        <v>63.48</v>
      </c>
      <c r="G105">
        <v>151841800</v>
      </c>
      <c r="H105" t="str">
        <f t="shared" si="5"/>
        <v>No</v>
      </c>
      <c r="I105" s="3">
        <f t="shared" si="4"/>
        <v>0.13175254055981456</v>
      </c>
    </row>
    <row r="106" spans="1:9" x14ac:dyDescent="0.3">
      <c r="A106" s="1">
        <v>43497</v>
      </c>
      <c r="B106">
        <v>83.49</v>
      </c>
      <c r="C106">
        <v>85.45</v>
      </c>
      <c r="D106">
        <v>81.72</v>
      </c>
      <c r="E106">
        <v>83.99</v>
      </c>
      <c r="F106">
        <v>63.93</v>
      </c>
      <c r="G106">
        <v>142887900</v>
      </c>
      <c r="H106" t="str">
        <f t="shared" si="5"/>
        <v>No</v>
      </c>
      <c r="I106" s="3">
        <f t="shared" si="4"/>
        <v>7.0888468809073846E-3</v>
      </c>
    </row>
    <row r="107" spans="1:9" x14ac:dyDescent="0.3">
      <c r="A107" s="1">
        <v>43525</v>
      </c>
      <c r="B107">
        <v>83.94</v>
      </c>
      <c r="C107">
        <v>87.42</v>
      </c>
      <c r="D107">
        <v>82.82</v>
      </c>
      <c r="E107">
        <v>86.91</v>
      </c>
      <c r="F107">
        <v>66.150000000000006</v>
      </c>
      <c r="G107">
        <v>147869500</v>
      </c>
      <c r="H107" t="str">
        <f t="shared" si="5"/>
        <v>No</v>
      </c>
      <c r="I107" s="3">
        <f t="shared" si="4"/>
        <v>3.4725480994838298E-2</v>
      </c>
    </row>
    <row r="108" spans="1:9" x14ac:dyDescent="0.3">
      <c r="A108" s="1">
        <v>43556</v>
      </c>
      <c r="B108">
        <v>87</v>
      </c>
      <c r="C108">
        <v>88.14</v>
      </c>
      <c r="D108">
        <v>83.78</v>
      </c>
      <c r="E108">
        <v>86.77</v>
      </c>
      <c r="F108">
        <v>66.510000000000005</v>
      </c>
      <c r="G108">
        <v>105284800</v>
      </c>
      <c r="H108" t="str">
        <f t="shared" si="5"/>
        <v>No</v>
      </c>
      <c r="I108" s="3">
        <f t="shared" si="4"/>
        <v>5.4421768707482165E-3</v>
      </c>
    </row>
    <row r="109" spans="1:9" x14ac:dyDescent="0.3">
      <c r="A109" s="1">
        <v>43586</v>
      </c>
      <c r="B109">
        <v>86.77</v>
      </c>
      <c r="C109">
        <v>88.59</v>
      </c>
      <c r="D109">
        <v>84.96</v>
      </c>
      <c r="E109">
        <v>86.89</v>
      </c>
      <c r="F109">
        <v>66.61</v>
      </c>
      <c r="G109">
        <v>105994700</v>
      </c>
      <c r="H109" t="str">
        <f t="shared" si="5"/>
        <v>No</v>
      </c>
      <c r="I109" s="3">
        <f t="shared" si="4"/>
        <v>1.503533303262472E-3</v>
      </c>
    </row>
    <row r="110" spans="1:9" x14ac:dyDescent="0.3">
      <c r="A110" s="1">
        <v>43617</v>
      </c>
      <c r="B110">
        <v>87.2</v>
      </c>
      <c r="C110">
        <v>91.85</v>
      </c>
      <c r="D110">
        <v>85.95</v>
      </c>
      <c r="E110">
        <v>87.4</v>
      </c>
      <c r="F110">
        <v>67</v>
      </c>
      <c r="G110">
        <v>106185400</v>
      </c>
      <c r="H110" t="str">
        <f t="shared" si="5"/>
        <v>No</v>
      </c>
      <c r="I110" s="3">
        <f t="shared" si="4"/>
        <v>5.854976730220729E-3</v>
      </c>
    </row>
    <row r="111" spans="1:9" x14ac:dyDescent="0.3">
      <c r="A111" s="1">
        <v>43647</v>
      </c>
      <c r="B111">
        <v>87.98</v>
      </c>
      <c r="C111">
        <v>91</v>
      </c>
      <c r="D111">
        <v>86.33</v>
      </c>
      <c r="E111">
        <v>88.89</v>
      </c>
      <c r="F111">
        <v>68.790000000000006</v>
      </c>
      <c r="G111">
        <v>110612600</v>
      </c>
      <c r="H111" t="str">
        <f t="shared" si="5"/>
        <v>No</v>
      </c>
      <c r="I111" s="3">
        <f t="shared" si="4"/>
        <v>2.6716417910447765E-2</v>
      </c>
    </row>
    <row r="112" spans="1:9" x14ac:dyDescent="0.3">
      <c r="A112" s="1">
        <v>43678</v>
      </c>
      <c r="B112">
        <v>89.01</v>
      </c>
      <c r="C112">
        <v>92.55</v>
      </c>
      <c r="D112">
        <v>86.45</v>
      </c>
      <c r="E112">
        <v>92.22</v>
      </c>
      <c r="F112">
        <v>71.37</v>
      </c>
      <c r="G112">
        <v>100972200</v>
      </c>
      <c r="H112" t="str">
        <f t="shared" si="5"/>
        <v>No</v>
      </c>
      <c r="I112" s="3">
        <f t="shared" si="4"/>
        <v>3.7505451373746057E-2</v>
      </c>
    </row>
    <row r="113" spans="1:9" x14ac:dyDescent="0.3">
      <c r="A113" s="1">
        <v>43709</v>
      </c>
      <c r="B113">
        <v>92.2</v>
      </c>
      <c r="C113">
        <v>94.07</v>
      </c>
      <c r="D113">
        <v>91.24</v>
      </c>
      <c r="E113">
        <v>93.25</v>
      </c>
      <c r="F113">
        <v>72.17</v>
      </c>
      <c r="G113">
        <v>90812700</v>
      </c>
      <c r="H113" t="str">
        <f t="shared" si="5"/>
        <v>No</v>
      </c>
      <c r="I113" s="3">
        <f t="shared" si="4"/>
        <v>1.1209191537060459E-2</v>
      </c>
    </row>
    <row r="114" spans="1:9" x14ac:dyDescent="0.3">
      <c r="A114" s="1">
        <v>43739</v>
      </c>
      <c r="B114">
        <v>93.2</v>
      </c>
      <c r="C114">
        <v>95.49</v>
      </c>
      <c r="D114">
        <v>91.39</v>
      </c>
      <c r="E114">
        <v>94.3</v>
      </c>
      <c r="F114">
        <v>73.569999999999993</v>
      </c>
      <c r="G114">
        <v>84281600</v>
      </c>
      <c r="H114" t="str">
        <f t="shared" si="5"/>
        <v>No</v>
      </c>
      <c r="I114" s="3">
        <f t="shared" si="4"/>
        <v>1.9398642095053154E-2</v>
      </c>
    </row>
    <row r="115" spans="1:9" x14ac:dyDescent="0.3">
      <c r="A115" s="1">
        <v>43770</v>
      </c>
      <c r="B115">
        <v>94.41</v>
      </c>
      <c r="C115">
        <v>94.79</v>
      </c>
      <c r="D115">
        <v>90.52</v>
      </c>
      <c r="E115">
        <v>93.07</v>
      </c>
      <c r="F115">
        <v>72.61</v>
      </c>
      <c r="G115">
        <v>98605700</v>
      </c>
      <c r="H115" t="str">
        <f t="shared" si="5"/>
        <v>No</v>
      </c>
      <c r="I115" s="3">
        <f t="shared" si="4"/>
        <v>-1.3048797064020623E-2</v>
      </c>
    </row>
    <row r="116" spans="1:9" x14ac:dyDescent="0.3">
      <c r="A116" s="1">
        <v>43800</v>
      </c>
      <c r="B116">
        <v>92.7</v>
      </c>
      <c r="C116">
        <v>93.37</v>
      </c>
      <c r="D116">
        <v>89.22</v>
      </c>
      <c r="E116">
        <v>92.79</v>
      </c>
      <c r="F116">
        <v>72.39</v>
      </c>
      <c r="G116">
        <v>115389300</v>
      </c>
      <c r="H116" t="str">
        <f t="shared" si="5"/>
        <v>No</v>
      </c>
      <c r="I116" s="3">
        <f t="shared" si="4"/>
        <v>-3.0298856906761928E-3</v>
      </c>
    </row>
    <row r="117" spans="1:9" x14ac:dyDescent="0.3">
      <c r="A117" s="1">
        <v>43831</v>
      </c>
      <c r="B117">
        <v>93.19</v>
      </c>
      <c r="C117">
        <v>96.15</v>
      </c>
      <c r="D117">
        <v>90.85</v>
      </c>
      <c r="E117">
        <v>93.93</v>
      </c>
      <c r="F117">
        <v>74.06</v>
      </c>
      <c r="G117">
        <v>98448400</v>
      </c>
      <c r="H117" t="str">
        <f t="shared" si="5"/>
        <v>No</v>
      </c>
      <c r="I117" s="3">
        <f t="shared" si="4"/>
        <v>2.3069484735460666E-2</v>
      </c>
    </row>
    <row r="118" spans="1:9" x14ac:dyDescent="0.3">
      <c r="A118" s="1">
        <v>43862</v>
      </c>
      <c r="B118">
        <v>93.88</v>
      </c>
      <c r="C118">
        <v>99.72</v>
      </c>
      <c r="D118">
        <v>84.66</v>
      </c>
      <c r="E118">
        <v>87.33</v>
      </c>
      <c r="F118">
        <v>68.86</v>
      </c>
      <c r="G118">
        <v>119825600</v>
      </c>
      <c r="H118" t="str">
        <f t="shared" si="5"/>
        <v>No</v>
      </c>
      <c r="I118" s="3">
        <f t="shared" si="4"/>
        <v>-7.0213340534701629E-2</v>
      </c>
    </row>
    <row r="119" spans="1:9" x14ac:dyDescent="0.3">
      <c r="A119" s="1">
        <v>43891</v>
      </c>
      <c r="B119">
        <v>87.65</v>
      </c>
      <c r="C119">
        <v>94.4</v>
      </c>
      <c r="D119">
        <v>55.58</v>
      </c>
      <c r="E119">
        <v>69.849999999999994</v>
      </c>
      <c r="F119">
        <v>55.08</v>
      </c>
      <c r="G119">
        <v>298513300</v>
      </c>
      <c r="H119" t="str">
        <f t="shared" si="5"/>
        <v>No</v>
      </c>
      <c r="I119" s="3">
        <f t="shared" si="4"/>
        <v>-0.20011617775196056</v>
      </c>
    </row>
    <row r="120" spans="1:9" x14ac:dyDescent="0.3">
      <c r="A120" s="1">
        <v>43922</v>
      </c>
      <c r="B120">
        <v>66.510000000000005</v>
      </c>
      <c r="C120">
        <v>79.989999999999995</v>
      </c>
      <c r="D120">
        <v>63.27</v>
      </c>
      <c r="E120">
        <v>76.11</v>
      </c>
      <c r="F120">
        <v>60.48</v>
      </c>
      <c r="G120">
        <v>182121800</v>
      </c>
      <c r="H120" t="str">
        <f t="shared" si="5"/>
        <v>No</v>
      </c>
      <c r="I120" s="3">
        <f t="shared" si="4"/>
        <v>9.8039215686274384E-2</v>
      </c>
    </row>
    <row r="121" spans="1:9" x14ac:dyDescent="0.3">
      <c r="A121" s="1">
        <v>43952</v>
      </c>
      <c r="B121">
        <v>74.08</v>
      </c>
      <c r="C121">
        <v>78.819999999999993</v>
      </c>
      <c r="D121">
        <v>66.27</v>
      </c>
      <c r="E121">
        <v>77.430000000000007</v>
      </c>
      <c r="F121">
        <v>61.53</v>
      </c>
      <c r="G121">
        <v>144158700</v>
      </c>
      <c r="H121" t="str">
        <f t="shared" si="5"/>
        <v>No</v>
      </c>
      <c r="I121" s="3">
        <f t="shared" si="4"/>
        <v>1.736111111111116E-2</v>
      </c>
    </row>
    <row r="122" spans="1:9" x14ac:dyDescent="0.3">
      <c r="A122" s="1">
        <v>43983</v>
      </c>
      <c r="B122">
        <v>77.36</v>
      </c>
      <c r="C122">
        <v>86.8</v>
      </c>
      <c r="D122">
        <v>75.66</v>
      </c>
      <c r="E122">
        <v>78.53</v>
      </c>
      <c r="F122">
        <v>62.4</v>
      </c>
      <c r="G122">
        <v>146935800</v>
      </c>
      <c r="H122" t="str">
        <f t="shared" si="5"/>
        <v>No</v>
      </c>
      <c r="I122" s="3">
        <f t="shared" si="4"/>
        <v>1.4139444173573823E-2</v>
      </c>
    </row>
    <row r="123" spans="1:9" x14ac:dyDescent="0.3">
      <c r="A123" s="1">
        <v>44013</v>
      </c>
      <c r="B123">
        <v>78.8</v>
      </c>
      <c r="C123">
        <v>82.07</v>
      </c>
      <c r="D123">
        <v>76.650000000000006</v>
      </c>
      <c r="E123">
        <v>81.39</v>
      </c>
      <c r="F123">
        <v>65.319999999999993</v>
      </c>
      <c r="G123">
        <v>100164500</v>
      </c>
      <c r="H123" t="str">
        <f t="shared" si="5"/>
        <v>No</v>
      </c>
      <c r="I123" s="3">
        <f t="shared" si="4"/>
        <v>4.6794871794871629E-2</v>
      </c>
    </row>
    <row r="124" spans="1:9" x14ac:dyDescent="0.3">
      <c r="A124" s="1">
        <v>44044</v>
      </c>
      <c r="B124">
        <v>81.42</v>
      </c>
      <c r="C124">
        <v>83.47</v>
      </c>
      <c r="D124">
        <v>79.38</v>
      </c>
      <c r="E124">
        <v>81.75</v>
      </c>
      <c r="F124">
        <v>65.61</v>
      </c>
      <c r="G124">
        <v>78309800</v>
      </c>
      <c r="H124" t="str">
        <f t="shared" si="5"/>
        <v>No</v>
      </c>
      <c r="I124" s="3">
        <f t="shared" si="4"/>
        <v>4.4396815676670531E-3</v>
      </c>
    </row>
    <row r="125" spans="1:9" x14ac:dyDescent="0.3">
      <c r="A125" s="1">
        <v>44075</v>
      </c>
      <c r="B125">
        <v>81.47</v>
      </c>
      <c r="C125">
        <v>84.49</v>
      </c>
      <c r="D125">
        <v>75.72</v>
      </c>
      <c r="E125">
        <v>78.959999999999994</v>
      </c>
      <c r="F125">
        <v>63.37</v>
      </c>
      <c r="G125">
        <v>93899900</v>
      </c>
      <c r="H125" t="str">
        <f t="shared" si="5"/>
        <v>No</v>
      </c>
      <c r="I125" s="3">
        <f t="shared" si="4"/>
        <v>-3.4141137021795442E-2</v>
      </c>
    </row>
    <row r="126" spans="1:9" x14ac:dyDescent="0.3">
      <c r="A126" s="1">
        <v>44105</v>
      </c>
      <c r="B126">
        <v>79.28</v>
      </c>
      <c r="C126">
        <v>83.88</v>
      </c>
      <c r="D126">
        <v>75.459999999999994</v>
      </c>
      <c r="E126">
        <v>76.59</v>
      </c>
      <c r="F126">
        <v>61.94</v>
      </c>
      <c r="G126">
        <v>90996800</v>
      </c>
      <c r="H126" t="str">
        <f t="shared" si="5"/>
        <v>No</v>
      </c>
      <c r="I126" s="3">
        <f t="shared" si="4"/>
        <v>-2.2565882909894253E-2</v>
      </c>
    </row>
    <row r="127" spans="1:9" x14ac:dyDescent="0.3">
      <c r="A127" s="1">
        <v>44136</v>
      </c>
      <c r="B127">
        <v>77.400000000000006</v>
      </c>
      <c r="C127">
        <v>88.29</v>
      </c>
      <c r="D127">
        <v>76.88</v>
      </c>
      <c r="E127">
        <v>84</v>
      </c>
      <c r="F127">
        <v>67.930000000000007</v>
      </c>
      <c r="G127">
        <v>92410400</v>
      </c>
      <c r="H127" t="str">
        <f t="shared" si="5"/>
        <v>No</v>
      </c>
      <c r="I127" s="3">
        <f t="shared" si="4"/>
        <v>9.6706490151760027E-2</v>
      </c>
    </row>
    <row r="128" spans="1:9" x14ac:dyDescent="0.3">
      <c r="A128" s="1">
        <v>44166</v>
      </c>
      <c r="B128">
        <v>84.96</v>
      </c>
      <c r="C128">
        <v>86.77</v>
      </c>
      <c r="D128">
        <v>83.23</v>
      </c>
      <c r="E128">
        <v>84.93</v>
      </c>
      <c r="F128">
        <v>68.69</v>
      </c>
      <c r="G128">
        <v>83498200</v>
      </c>
      <c r="H128" t="str">
        <f t="shared" si="5"/>
        <v>No</v>
      </c>
      <c r="I128" s="3">
        <f t="shared" si="4"/>
        <v>1.1187987634329266E-2</v>
      </c>
    </row>
    <row r="129" spans="1:9" x14ac:dyDescent="0.3">
      <c r="A129" s="1">
        <v>44197</v>
      </c>
      <c r="B129">
        <v>85.2</v>
      </c>
      <c r="C129">
        <v>87.31</v>
      </c>
      <c r="D129">
        <v>81.23</v>
      </c>
      <c r="E129">
        <v>84.96</v>
      </c>
      <c r="F129">
        <v>69.819999999999993</v>
      </c>
      <c r="G129">
        <v>111243400</v>
      </c>
      <c r="H129" t="str">
        <f t="shared" si="5"/>
        <v>No</v>
      </c>
      <c r="I129" s="3">
        <f t="shared" si="4"/>
        <v>1.6450720628912396E-2</v>
      </c>
    </row>
    <row r="130" spans="1:9" x14ac:dyDescent="0.3">
      <c r="A130" s="1">
        <v>44228</v>
      </c>
      <c r="B130">
        <v>85.48</v>
      </c>
      <c r="C130">
        <v>91.45</v>
      </c>
      <c r="D130">
        <v>84.42</v>
      </c>
      <c r="E130">
        <v>87.87</v>
      </c>
      <c r="F130">
        <v>72.209999999999994</v>
      </c>
      <c r="G130">
        <v>75646800</v>
      </c>
      <c r="H130" t="str">
        <f t="shared" ref="H130:H161" si="6">IF(ISNUMBER(SEARCH("Dividend",B130)),"Yes","No")</f>
        <v>No</v>
      </c>
      <c r="I130" s="3">
        <f t="shared" si="4"/>
        <v>3.4230879404182124E-2</v>
      </c>
    </row>
    <row r="131" spans="1:9" x14ac:dyDescent="0.3">
      <c r="A131" s="1">
        <v>44256</v>
      </c>
      <c r="B131">
        <v>88.87</v>
      </c>
      <c r="C131">
        <v>93.2</v>
      </c>
      <c r="D131">
        <v>84.45</v>
      </c>
      <c r="E131">
        <v>91.86</v>
      </c>
      <c r="F131">
        <v>75.489999999999995</v>
      </c>
      <c r="G131">
        <v>103013500</v>
      </c>
      <c r="H131" t="str">
        <f t="shared" si="6"/>
        <v>No</v>
      </c>
      <c r="I131" s="3">
        <f t="shared" si="4"/>
        <v>4.5423071596731868E-2</v>
      </c>
    </row>
    <row r="132" spans="1:9" x14ac:dyDescent="0.3">
      <c r="A132" s="1">
        <v>44287</v>
      </c>
      <c r="B132">
        <v>92.34</v>
      </c>
      <c r="C132">
        <v>99.3</v>
      </c>
      <c r="D132">
        <v>92</v>
      </c>
      <c r="E132">
        <v>99.08</v>
      </c>
      <c r="F132">
        <v>81.900000000000006</v>
      </c>
      <c r="G132">
        <v>90267000</v>
      </c>
      <c r="H132" t="str">
        <f t="shared" si="6"/>
        <v>No</v>
      </c>
      <c r="I132" s="3">
        <f t="shared" ref="I132:I195" si="7">(F132/F131)-1</f>
        <v>8.4911908862101093E-2</v>
      </c>
    </row>
    <row r="133" spans="1:9" x14ac:dyDescent="0.3">
      <c r="A133" s="1">
        <v>44317</v>
      </c>
      <c r="B133">
        <v>99.56</v>
      </c>
      <c r="C133">
        <v>100.17</v>
      </c>
      <c r="D133">
        <v>94.64</v>
      </c>
      <c r="E133">
        <v>99.88</v>
      </c>
      <c r="F133">
        <v>82.56</v>
      </c>
      <c r="G133">
        <v>86332500</v>
      </c>
      <c r="H133" t="str">
        <f t="shared" si="6"/>
        <v>No</v>
      </c>
      <c r="I133" s="3">
        <f t="shared" si="7"/>
        <v>8.05860805860803E-3</v>
      </c>
    </row>
    <row r="134" spans="1:9" x14ac:dyDescent="0.3">
      <c r="A134" s="1">
        <v>44348</v>
      </c>
      <c r="B134">
        <v>100.37</v>
      </c>
      <c r="C134">
        <v>105.77</v>
      </c>
      <c r="D134">
        <v>100.01</v>
      </c>
      <c r="E134">
        <v>101.79</v>
      </c>
      <c r="F134">
        <v>84.14</v>
      </c>
      <c r="G134">
        <v>88689200</v>
      </c>
      <c r="H134" t="str">
        <f t="shared" si="6"/>
        <v>No</v>
      </c>
      <c r="I134" s="3">
        <f t="shared" si="7"/>
        <v>1.9137596899224896E-2</v>
      </c>
    </row>
    <row r="135" spans="1:9" x14ac:dyDescent="0.3">
      <c r="A135" s="1">
        <v>44378</v>
      </c>
      <c r="B135">
        <v>102.03</v>
      </c>
      <c r="C135">
        <v>107.72</v>
      </c>
      <c r="D135">
        <v>101.51</v>
      </c>
      <c r="E135">
        <v>106.29</v>
      </c>
      <c r="F135">
        <v>88.48</v>
      </c>
      <c r="G135">
        <v>96340600</v>
      </c>
      <c r="H135" t="str">
        <f t="shared" si="6"/>
        <v>No</v>
      </c>
      <c r="I135" s="3">
        <f t="shared" si="7"/>
        <v>5.1580698835274497E-2</v>
      </c>
    </row>
    <row r="136" spans="1:9" x14ac:dyDescent="0.3">
      <c r="A136" s="1">
        <v>44409</v>
      </c>
      <c r="B136">
        <v>106.87</v>
      </c>
      <c r="C136">
        <v>108.71</v>
      </c>
      <c r="D136">
        <v>104.85</v>
      </c>
      <c r="E136">
        <v>108.58</v>
      </c>
      <c r="F136">
        <v>90.39</v>
      </c>
      <c r="G136">
        <v>74709300</v>
      </c>
      <c r="H136" t="str">
        <f t="shared" si="6"/>
        <v>No</v>
      </c>
      <c r="I136" s="3">
        <f t="shared" si="7"/>
        <v>2.158679927667273E-2</v>
      </c>
    </row>
    <row r="137" spans="1:9" x14ac:dyDescent="0.3">
      <c r="A137" s="1">
        <v>44440</v>
      </c>
      <c r="B137">
        <v>108.84</v>
      </c>
      <c r="C137">
        <v>111.06</v>
      </c>
      <c r="D137">
        <v>101.78</v>
      </c>
      <c r="E137">
        <v>101.78</v>
      </c>
      <c r="F137">
        <v>84.73</v>
      </c>
      <c r="G137">
        <v>109439100</v>
      </c>
      <c r="H137" t="str">
        <f t="shared" si="6"/>
        <v>No</v>
      </c>
      <c r="I137" s="3">
        <f t="shared" si="7"/>
        <v>-6.2617546188737605E-2</v>
      </c>
    </row>
    <row r="138" spans="1:9" x14ac:dyDescent="0.3">
      <c r="A138" s="1">
        <v>44470</v>
      </c>
      <c r="B138">
        <v>102.44</v>
      </c>
      <c r="C138">
        <v>110.3</v>
      </c>
      <c r="D138">
        <v>101</v>
      </c>
      <c r="E138">
        <v>109.04</v>
      </c>
      <c r="F138">
        <v>91.33</v>
      </c>
      <c r="G138">
        <v>87536500</v>
      </c>
      <c r="H138" t="str">
        <f t="shared" si="6"/>
        <v>No</v>
      </c>
      <c r="I138" s="3">
        <f t="shared" si="7"/>
        <v>7.7894488374837589E-2</v>
      </c>
    </row>
    <row r="139" spans="1:9" x14ac:dyDescent="0.3">
      <c r="A139" s="1">
        <v>44501</v>
      </c>
      <c r="B139">
        <v>109.3</v>
      </c>
      <c r="C139">
        <v>111.29</v>
      </c>
      <c r="D139">
        <v>106.65</v>
      </c>
      <c r="E139">
        <v>106.74</v>
      </c>
      <c r="F139">
        <v>89.41</v>
      </c>
      <c r="G139">
        <v>75127000</v>
      </c>
      <c r="H139" t="str">
        <f t="shared" si="6"/>
        <v>No</v>
      </c>
      <c r="I139" s="3">
        <f t="shared" si="7"/>
        <v>-2.1022665060768664E-2</v>
      </c>
    </row>
    <row r="140" spans="1:9" x14ac:dyDescent="0.3">
      <c r="A140" s="1">
        <v>44531</v>
      </c>
      <c r="B140">
        <v>107.74</v>
      </c>
      <c r="C140">
        <v>116.71</v>
      </c>
      <c r="D140">
        <v>104.95</v>
      </c>
      <c r="E140">
        <v>116.01</v>
      </c>
      <c r="F140">
        <v>97.17</v>
      </c>
      <c r="G140">
        <v>129687300</v>
      </c>
      <c r="H140" t="str">
        <f t="shared" si="6"/>
        <v>No</v>
      </c>
      <c r="I140" s="3">
        <f t="shared" si="7"/>
        <v>8.6791186668157883E-2</v>
      </c>
    </row>
    <row r="141" spans="1:9" x14ac:dyDescent="0.3">
      <c r="A141" s="1">
        <v>44562</v>
      </c>
      <c r="B141">
        <v>116.21</v>
      </c>
      <c r="C141">
        <v>116.24</v>
      </c>
      <c r="D141">
        <v>100.62</v>
      </c>
      <c r="E141">
        <v>106.24</v>
      </c>
      <c r="F141">
        <v>89.82</v>
      </c>
      <c r="G141">
        <v>144909900</v>
      </c>
      <c r="H141" t="str">
        <f t="shared" si="6"/>
        <v>No</v>
      </c>
      <c r="I141" s="3">
        <f t="shared" si="7"/>
        <v>-7.5640629824019867E-2</v>
      </c>
    </row>
    <row r="142" spans="1:9" x14ac:dyDescent="0.3">
      <c r="A142" s="1">
        <v>44593</v>
      </c>
      <c r="B142">
        <v>106.15</v>
      </c>
      <c r="C142">
        <v>107.52</v>
      </c>
      <c r="D142">
        <v>97.71</v>
      </c>
      <c r="E142">
        <v>102.54</v>
      </c>
      <c r="F142">
        <v>86.7</v>
      </c>
      <c r="G142">
        <v>115345200</v>
      </c>
      <c r="H142" t="str">
        <f t="shared" si="6"/>
        <v>No</v>
      </c>
      <c r="I142" s="3">
        <f t="shared" si="7"/>
        <v>-3.4736138944555628E-2</v>
      </c>
    </row>
    <row r="143" spans="1:9" x14ac:dyDescent="0.3">
      <c r="A143" s="1">
        <v>44621</v>
      </c>
      <c r="B143">
        <v>102.8</v>
      </c>
      <c r="C143">
        <v>110.69</v>
      </c>
      <c r="D143">
        <v>101.45</v>
      </c>
      <c r="E143">
        <v>108.37</v>
      </c>
      <c r="F143">
        <v>91.62</v>
      </c>
      <c r="G143">
        <v>128072800</v>
      </c>
      <c r="H143" t="str">
        <f t="shared" si="6"/>
        <v>No</v>
      </c>
      <c r="I143" s="3">
        <f t="shared" si="7"/>
        <v>5.6747404844290639E-2</v>
      </c>
    </row>
    <row r="144" spans="1:9" x14ac:dyDescent="0.3">
      <c r="A144" s="1">
        <v>44652</v>
      </c>
      <c r="B144">
        <v>108.87</v>
      </c>
      <c r="C144">
        <v>113.41</v>
      </c>
      <c r="D144">
        <v>103.68</v>
      </c>
      <c r="E144">
        <v>103.94</v>
      </c>
      <c r="F144">
        <v>88.36</v>
      </c>
      <c r="G144">
        <v>114746000</v>
      </c>
      <c r="H144" t="str">
        <f t="shared" si="6"/>
        <v>No</v>
      </c>
      <c r="I144" s="3">
        <f t="shared" si="7"/>
        <v>-3.5581750709452131E-2</v>
      </c>
    </row>
    <row r="145" spans="1:9" x14ac:dyDescent="0.3">
      <c r="A145" s="1">
        <v>44682</v>
      </c>
      <c r="B145">
        <v>103.87</v>
      </c>
      <c r="C145">
        <v>104.54</v>
      </c>
      <c r="D145">
        <v>92.88</v>
      </c>
      <c r="E145">
        <v>99.07</v>
      </c>
      <c r="F145">
        <v>84.22</v>
      </c>
      <c r="G145">
        <v>147907100</v>
      </c>
      <c r="H145" t="str">
        <f t="shared" si="6"/>
        <v>No</v>
      </c>
      <c r="I145" s="3">
        <f t="shared" si="7"/>
        <v>-4.6853779990946087E-2</v>
      </c>
    </row>
    <row r="146" spans="1:9" x14ac:dyDescent="0.3">
      <c r="A146" s="1">
        <v>44713</v>
      </c>
      <c r="B146">
        <v>99.4</v>
      </c>
      <c r="C146">
        <v>99.65</v>
      </c>
      <c r="D146">
        <v>86.63</v>
      </c>
      <c r="E146">
        <v>91.11</v>
      </c>
      <c r="F146">
        <v>77.45</v>
      </c>
      <c r="G146">
        <v>127668800</v>
      </c>
      <c r="H146" t="str">
        <f t="shared" si="6"/>
        <v>No</v>
      </c>
      <c r="I146" s="3">
        <f t="shared" si="7"/>
        <v>-8.0384706720493915E-2</v>
      </c>
    </row>
    <row r="147" spans="1:9" x14ac:dyDescent="0.3">
      <c r="A147" s="1">
        <v>44743</v>
      </c>
      <c r="B147">
        <v>90.97</v>
      </c>
      <c r="C147">
        <v>99.32</v>
      </c>
      <c r="D147">
        <v>89.45</v>
      </c>
      <c r="E147">
        <v>98.96</v>
      </c>
      <c r="F147">
        <v>84.66</v>
      </c>
      <c r="G147">
        <v>80779000</v>
      </c>
      <c r="H147" t="str">
        <f t="shared" si="6"/>
        <v>No</v>
      </c>
      <c r="I147" s="3">
        <f t="shared" si="7"/>
        <v>9.3092317624273724E-2</v>
      </c>
    </row>
    <row r="148" spans="1:9" x14ac:dyDescent="0.3">
      <c r="A148" s="1">
        <v>44774</v>
      </c>
      <c r="B148">
        <v>98.45</v>
      </c>
      <c r="C148">
        <v>102.37</v>
      </c>
      <c r="D148">
        <v>92.8</v>
      </c>
      <c r="E148">
        <v>93.01</v>
      </c>
      <c r="F148">
        <v>79.569999999999993</v>
      </c>
      <c r="G148">
        <v>75714200</v>
      </c>
      <c r="H148" t="str">
        <f t="shared" si="6"/>
        <v>No</v>
      </c>
      <c r="I148" s="3">
        <f t="shared" si="7"/>
        <v>-6.0122844318450275E-2</v>
      </c>
    </row>
    <row r="149" spans="1:9" x14ac:dyDescent="0.3">
      <c r="A149" s="1">
        <v>44805</v>
      </c>
      <c r="B149">
        <v>92.45</v>
      </c>
      <c r="C149">
        <v>96.92</v>
      </c>
      <c r="D149">
        <v>78.73</v>
      </c>
      <c r="E149">
        <v>80.17</v>
      </c>
      <c r="F149">
        <v>68.59</v>
      </c>
      <c r="G149">
        <v>128425700</v>
      </c>
      <c r="H149" t="str">
        <f t="shared" si="6"/>
        <v>No</v>
      </c>
      <c r="I149" s="3">
        <f t="shared" si="7"/>
        <v>-0.13799170541661421</v>
      </c>
    </row>
    <row r="150" spans="1:9" x14ac:dyDescent="0.3">
      <c r="A150" s="1">
        <v>44835</v>
      </c>
      <c r="B150">
        <v>81.400000000000006</v>
      </c>
      <c r="C150">
        <v>83.87</v>
      </c>
      <c r="D150">
        <v>74.66</v>
      </c>
      <c r="E150">
        <v>82.98</v>
      </c>
      <c r="F150">
        <v>71.760000000000005</v>
      </c>
      <c r="G150">
        <v>133054800</v>
      </c>
      <c r="H150" t="str">
        <f t="shared" si="6"/>
        <v>No</v>
      </c>
      <c r="I150" s="3">
        <f t="shared" si="7"/>
        <v>4.621664965738459E-2</v>
      </c>
    </row>
    <row r="151" spans="1:9" x14ac:dyDescent="0.3">
      <c r="A151" s="1">
        <v>44866</v>
      </c>
      <c r="B151">
        <v>83.88</v>
      </c>
      <c r="C151">
        <v>88.14</v>
      </c>
      <c r="D151">
        <v>79.03</v>
      </c>
      <c r="E151">
        <v>88.08</v>
      </c>
      <c r="F151">
        <v>76.17</v>
      </c>
      <c r="G151">
        <v>107919000</v>
      </c>
      <c r="H151" t="str">
        <f t="shared" si="6"/>
        <v>No</v>
      </c>
      <c r="I151" s="3">
        <f t="shared" si="7"/>
        <v>6.1454849498327802E-2</v>
      </c>
    </row>
    <row r="152" spans="1:9" x14ac:dyDescent="0.3">
      <c r="A152" s="1">
        <v>44896</v>
      </c>
      <c r="B152">
        <v>88.72</v>
      </c>
      <c r="C152">
        <v>89.47</v>
      </c>
      <c r="D152">
        <v>80.489999999999995</v>
      </c>
      <c r="E152">
        <v>82.48</v>
      </c>
      <c r="F152">
        <v>71.33</v>
      </c>
      <c r="G152">
        <v>114129300</v>
      </c>
      <c r="H152" t="str">
        <f t="shared" si="6"/>
        <v>No</v>
      </c>
      <c r="I152" s="3">
        <f t="shared" si="7"/>
        <v>-6.3542076933175817E-2</v>
      </c>
    </row>
    <row r="153" spans="1:9" x14ac:dyDescent="0.3">
      <c r="A153" s="1">
        <v>44927</v>
      </c>
      <c r="B153">
        <v>83.17</v>
      </c>
      <c r="C153">
        <v>91.17</v>
      </c>
      <c r="D153">
        <v>81.66</v>
      </c>
      <c r="E153">
        <v>91.06</v>
      </c>
      <c r="F153">
        <v>79.86</v>
      </c>
      <c r="G153">
        <v>106908300</v>
      </c>
      <c r="H153" t="str">
        <f t="shared" si="6"/>
        <v>No</v>
      </c>
      <c r="I153" s="3">
        <f t="shared" si="7"/>
        <v>0.11958502733772614</v>
      </c>
    </row>
    <row r="154" spans="1:9" x14ac:dyDescent="0.3">
      <c r="A154" s="1">
        <v>44958</v>
      </c>
      <c r="B154">
        <v>90.57</v>
      </c>
      <c r="C154">
        <v>94.53</v>
      </c>
      <c r="D154">
        <v>85.27</v>
      </c>
      <c r="E154">
        <v>85.72</v>
      </c>
      <c r="F154">
        <v>75.180000000000007</v>
      </c>
      <c r="G154">
        <v>93678700</v>
      </c>
      <c r="H154" t="str">
        <f t="shared" si="6"/>
        <v>No</v>
      </c>
      <c r="I154" s="3">
        <f t="shared" si="7"/>
        <v>-5.8602554470322921E-2</v>
      </c>
    </row>
    <row r="155" spans="1:9" x14ac:dyDescent="0.3">
      <c r="A155" s="1">
        <v>44986</v>
      </c>
      <c r="B155">
        <v>85.12</v>
      </c>
      <c r="C155">
        <v>87.41</v>
      </c>
      <c r="D155">
        <v>76.22</v>
      </c>
      <c r="E155">
        <v>83.04</v>
      </c>
      <c r="F155">
        <v>72.83</v>
      </c>
      <c r="G155">
        <v>164792900</v>
      </c>
      <c r="H155" t="str">
        <f t="shared" si="6"/>
        <v>No</v>
      </c>
      <c r="I155" s="3">
        <f t="shared" si="7"/>
        <v>-3.1258313381218539E-2</v>
      </c>
    </row>
    <row r="156" spans="1:9" x14ac:dyDescent="0.3">
      <c r="A156" s="1">
        <v>45017</v>
      </c>
      <c r="B156">
        <v>82.94</v>
      </c>
      <c r="C156">
        <v>83.98</v>
      </c>
      <c r="D156">
        <v>80.290000000000006</v>
      </c>
      <c r="E156">
        <v>83.3</v>
      </c>
      <c r="F156">
        <v>73.790000000000006</v>
      </c>
      <c r="G156">
        <v>99978400</v>
      </c>
      <c r="H156" t="str">
        <f t="shared" si="6"/>
        <v>No</v>
      </c>
      <c r="I156" s="3">
        <f t="shared" si="7"/>
        <v>1.318138129891544E-2</v>
      </c>
    </row>
    <row r="157" spans="1:9" x14ac:dyDescent="0.3">
      <c r="A157" s="1">
        <v>45047</v>
      </c>
      <c r="B157">
        <v>83.31</v>
      </c>
      <c r="C157">
        <v>83.62</v>
      </c>
      <c r="D157">
        <v>77.81</v>
      </c>
      <c r="E157">
        <v>80</v>
      </c>
      <c r="F157">
        <v>70.86</v>
      </c>
      <c r="G157">
        <v>108724000</v>
      </c>
      <c r="H157" t="str">
        <f t="shared" si="6"/>
        <v>No</v>
      </c>
      <c r="I157" s="3">
        <f t="shared" si="7"/>
        <v>-3.970727740886304E-2</v>
      </c>
    </row>
    <row r="158" spans="1:9" x14ac:dyDescent="0.3">
      <c r="A158" s="1">
        <v>45078</v>
      </c>
      <c r="B158">
        <v>79.900000000000006</v>
      </c>
      <c r="C158">
        <v>84.68</v>
      </c>
      <c r="D158">
        <v>79.150000000000006</v>
      </c>
      <c r="E158">
        <v>83.56</v>
      </c>
      <c r="F158">
        <v>74.02</v>
      </c>
      <c r="G158">
        <v>90130300</v>
      </c>
      <c r="H158" t="str">
        <f t="shared" si="6"/>
        <v>No</v>
      </c>
      <c r="I158" s="3">
        <f t="shared" si="7"/>
        <v>4.4594976009031839E-2</v>
      </c>
    </row>
    <row r="159" spans="1:9" x14ac:dyDescent="0.3">
      <c r="A159" s="1">
        <v>45108</v>
      </c>
      <c r="B159">
        <v>83.43</v>
      </c>
      <c r="C159">
        <v>87.32</v>
      </c>
      <c r="D159">
        <v>82.36</v>
      </c>
      <c r="E159">
        <v>85.26</v>
      </c>
      <c r="F159">
        <v>76.38</v>
      </c>
      <c r="G159">
        <v>107321700</v>
      </c>
      <c r="H159" t="str">
        <f t="shared" si="6"/>
        <v>No</v>
      </c>
      <c r="I159" s="3">
        <f t="shared" si="7"/>
        <v>3.1883274790597049E-2</v>
      </c>
    </row>
    <row r="160" spans="1:9" x14ac:dyDescent="0.3">
      <c r="A160" s="1">
        <v>45139</v>
      </c>
      <c r="B160">
        <v>85.04</v>
      </c>
      <c r="C160">
        <v>85.42</v>
      </c>
      <c r="D160">
        <v>79.040000000000006</v>
      </c>
      <c r="E160">
        <v>82.38</v>
      </c>
      <c r="F160">
        <v>73.8</v>
      </c>
      <c r="G160">
        <v>89694300</v>
      </c>
      <c r="H160" t="str">
        <f t="shared" si="6"/>
        <v>No</v>
      </c>
      <c r="I160" s="3">
        <f t="shared" si="7"/>
        <v>-3.3778476040848382E-2</v>
      </c>
    </row>
    <row r="161" spans="1:9" x14ac:dyDescent="0.3">
      <c r="A161" s="1">
        <v>45170</v>
      </c>
      <c r="B161">
        <v>82.9</v>
      </c>
      <c r="C161">
        <v>83.17</v>
      </c>
      <c r="D161">
        <v>74.849999999999994</v>
      </c>
      <c r="E161">
        <v>75.66</v>
      </c>
      <c r="F161">
        <v>67.78</v>
      </c>
      <c r="G161">
        <v>86557800</v>
      </c>
      <c r="H161" t="str">
        <f t="shared" si="6"/>
        <v>No</v>
      </c>
      <c r="I161" s="3">
        <f t="shared" si="7"/>
        <v>-8.1571815718157081E-2</v>
      </c>
    </row>
    <row r="162" spans="1:9" x14ac:dyDescent="0.3">
      <c r="A162" s="1">
        <v>45200</v>
      </c>
      <c r="B162">
        <v>75.41</v>
      </c>
      <c r="C162">
        <v>77.28</v>
      </c>
      <c r="D162">
        <v>70.61</v>
      </c>
      <c r="E162">
        <v>72.92</v>
      </c>
      <c r="F162">
        <v>65.959999999999994</v>
      </c>
      <c r="G162">
        <v>140389500</v>
      </c>
      <c r="H162" t="str">
        <f t="shared" ref="H162:H195" si="8">IF(ISNUMBER(SEARCH("Dividend",B162)),"Yes","No")</f>
        <v>No</v>
      </c>
      <c r="I162" s="3">
        <f t="shared" si="7"/>
        <v>-2.6851578636766127E-2</v>
      </c>
    </row>
    <row r="163" spans="1:9" x14ac:dyDescent="0.3">
      <c r="A163" s="1">
        <v>45231</v>
      </c>
      <c r="B163">
        <v>73.02</v>
      </c>
      <c r="C163">
        <v>81.93</v>
      </c>
      <c r="D163">
        <v>72.540000000000006</v>
      </c>
      <c r="E163">
        <v>81.73</v>
      </c>
      <c r="F163">
        <v>73.930000000000007</v>
      </c>
      <c r="G163">
        <v>104804000</v>
      </c>
      <c r="H163" t="str">
        <f t="shared" si="8"/>
        <v>No</v>
      </c>
      <c r="I163" s="3">
        <f t="shared" si="7"/>
        <v>0.12083080654942413</v>
      </c>
    </row>
    <row r="164" spans="1:9" x14ac:dyDescent="0.3">
      <c r="A164" s="1">
        <v>45261</v>
      </c>
      <c r="B164">
        <v>81.66</v>
      </c>
      <c r="C164">
        <v>90.09</v>
      </c>
      <c r="D164">
        <v>81.42</v>
      </c>
      <c r="E164">
        <v>88.36</v>
      </c>
      <c r="F164">
        <v>79.92</v>
      </c>
      <c r="G164">
        <v>107737100</v>
      </c>
      <c r="H164" t="str">
        <f t="shared" si="8"/>
        <v>No</v>
      </c>
      <c r="I164" s="3">
        <f t="shared" si="7"/>
        <v>8.1022588935479423E-2</v>
      </c>
    </row>
    <row r="165" spans="1:9" x14ac:dyDescent="0.3">
      <c r="A165" s="1">
        <v>45292</v>
      </c>
      <c r="B165">
        <v>88.05</v>
      </c>
      <c r="C165">
        <v>89.26</v>
      </c>
      <c r="D165">
        <v>83.73</v>
      </c>
      <c r="E165">
        <v>83.89</v>
      </c>
      <c r="F165">
        <v>76.819999999999993</v>
      </c>
      <c r="G165">
        <v>99342000</v>
      </c>
      <c r="H165" t="str">
        <f t="shared" si="8"/>
        <v>No</v>
      </c>
      <c r="I165" s="3">
        <f t="shared" si="7"/>
        <v>-3.8788788788788886E-2</v>
      </c>
    </row>
    <row r="166" spans="1:9" x14ac:dyDescent="0.3">
      <c r="A166" s="1">
        <v>45323</v>
      </c>
      <c r="B166">
        <v>83.8</v>
      </c>
      <c r="C166">
        <v>86</v>
      </c>
      <c r="D166">
        <v>81.540000000000006</v>
      </c>
      <c r="E166">
        <v>85.55</v>
      </c>
      <c r="F166">
        <v>78.34</v>
      </c>
      <c r="G166">
        <v>106306700</v>
      </c>
      <c r="H166" t="str">
        <f t="shared" si="8"/>
        <v>No</v>
      </c>
      <c r="I166" s="3">
        <f t="shared" si="7"/>
        <v>1.9786513928664595E-2</v>
      </c>
    </row>
    <row r="167" spans="1:9" x14ac:dyDescent="0.3">
      <c r="A167" s="1">
        <v>45352</v>
      </c>
      <c r="B167">
        <v>85.42</v>
      </c>
      <c r="C167">
        <v>88.07</v>
      </c>
      <c r="D167">
        <v>83.69</v>
      </c>
      <c r="E167">
        <v>86.48</v>
      </c>
      <c r="F167">
        <v>79.19</v>
      </c>
      <c r="G167">
        <v>87358900</v>
      </c>
      <c r="H167" t="str">
        <f t="shared" si="8"/>
        <v>No</v>
      </c>
      <c r="I167" s="3">
        <f t="shared" si="7"/>
        <v>1.0850140413581677E-2</v>
      </c>
    </row>
    <row r="168" spans="1:9" x14ac:dyDescent="0.3">
      <c r="A168" s="1">
        <v>45383</v>
      </c>
      <c r="B168">
        <v>86.74</v>
      </c>
      <c r="C168">
        <v>86.74</v>
      </c>
      <c r="D168">
        <v>78.27</v>
      </c>
      <c r="E168">
        <v>79.61</v>
      </c>
      <c r="F168">
        <v>73.52</v>
      </c>
      <c r="G168">
        <v>112743100</v>
      </c>
      <c r="H168" t="str">
        <f t="shared" si="8"/>
        <v>No</v>
      </c>
      <c r="I168" s="3">
        <f t="shared" si="7"/>
        <v>-7.1599949488571846E-2</v>
      </c>
    </row>
    <row r="169" spans="1:9" x14ac:dyDescent="0.3">
      <c r="A169" s="1">
        <v>45413</v>
      </c>
      <c r="B169">
        <v>79.5</v>
      </c>
      <c r="C169">
        <v>85.42</v>
      </c>
      <c r="D169">
        <v>79.37</v>
      </c>
      <c r="E169">
        <v>83.24</v>
      </c>
      <c r="F169">
        <v>76.87</v>
      </c>
      <c r="G169">
        <v>82025100</v>
      </c>
      <c r="H169" t="str">
        <f t="shared" si="8"/>
        <v>No</v>
      </c>
      <c r="I169" s="3">
        <f t="shared" si="7"/>
        <v>4.5565832426550656E-2</v>
      </c>
    </row>
    <row r="170" spans="1:9" x14ac:dyDescent="0.3">
      <c r="A170" s="1">
        <v>45444</v>
      </c>
      <c r="B170">
        <v>83.69</v>
      </c>
      <c r="C170">
        <v>85.46</v>
      </c>
      <c r="D170">
        <v>82.1</v>
      </c>
      <c r="E170">
        <v>83.76</v>
      </c>
      <c r="F170">
        <v>77.349999999999994</v>
      </c>
      <c r="G170">
        <v>57175100</v>
      </c>
      <c r="H170" t="str">
        <f t="shared" si="8"/>
        <v>No</v>
      </c>
      <c r="I170" s="3">
        <f t="shared" si="7"/>
        <v>6.244308572915136E-3</v>
      </c>
    </row>
    <row r="171" spans="1:9" x14ac:dyDescent="0.3">
      <c r="A171" s="1">
        <v>45474</v>
      </c>
      <c r="B171">
        <v>83.69</v>
      </c>
      <c r="C171">
        <v>91.54</v>
      </c>
      <c r="D171">
        <v>82.47</v>
      </c>
      <c r="E171">
        <v>90.41</v>
      </c>
      <c r="F171">
        <v>84.53</v>
      </c>
      <c r="G171">
        <v>74617300</v>
      </c>
      <c r="H171" t="str">
        <f t="shared" si="8"/>
        <v>No</v>
      </c>
      <c r="I171" s="3">
        <f t="shared" si="7"/>
        <v>9.2824822236587057E-2</v>
      </c>
    </row>
    <row r="172" spans="1:9" x14ac:dyDescent="0.3">
      <c r="A172" s="1">
        <v>45505</v>
      </c>
      <c r="B172">
        <v>91.46</v>
      </c>
      <c r="C172">
        <v>95.37</v>
      </c>
      <c r="D172">
        <v>88.27</v>
      </c>
      <c r="E172">
        <v>95.13</v>
      </c>
      <c r="F172">
        <v>88.94</v>
      </c>
      <c r="G172">
        <v>92711700</v>
      </c>
      <c r="H172" t="str">
        <f t="shared" si="8"/>
        <v>No</v>
      </c>
      <c r="I172" s="3">
        <f t="shared" si="7"/>
        <v>5.2170826925351799E-2</v>
      </c>
    </row>
    <row r="173" spans="1:9" x14ac:dyDescent="0.3">
      <c r="A173" s="1">
        <v>45536</v>
      </c>
      <c r="B173">
        <v>94.22</v>
      </c>
      <c r="C173">
        <v>99.58</v>
      </c>
      <c r="D173">
        <v>94.19</v>
      </c>
      <c r="E173">
        <v>97.42</v>
      </c>
      <c r="F173">
        <v>91.09</v>
      </c>
      <c r="G173">
        <v>83705800</v>
      </c>
      <c r="H173" t="str">
        <f t="shared" si="8"/>
        <v>No</v>
      </c>
      <c r="I173" s="3">
        <f t="shared" si="7"/>
        <v>2.417360017989667E-2</v>
      </c>
    </row>
    <row r="174" spans="1:9" x14ac:dyDescent="0.3">
      <c r="A174" s="1">
        <v>45566</v>
      </c>
      <c r="B174">
        <v>97.63</v>
      </c>
      <c r="C174">
        <v>97.8</v>
      </c>
      <c r="D174">
        <v>93.43</v>
      </c>
      <c r="E174">
        <v>94.15</v>
      </c>
      <c r="F174">
        <v>88.77</v>
      </c>
      <c r="G174">
        <v>75643400</v>
      </c>
      <c r="H174" t="str">
        <f t="shared" si="8"/>
        <v>No</v>
      </c>
      <c r="I174" s="3">
        <f t="shared" si="7"/>
        <v>-2.5469316061038638E-2</v>
      </c>
    </row>
    <row r="175" spans="1:9" x14ac:dyDescent="0.3">
      <c r="A175" s="1">
        <v>45597</v>
      </c>
      <c r="B175">
        <v>94.68</v>
      </c>
      <c r="C175">
        <v>99.2</v>
      </c>
      <c r="D175">
        <v>92.37</v>
      </c>
      <c r="E175">
        <v>98.16</v>
      </c>
      <c r="F175">
        <v>92.55</v>
      </c>
      <c r="G175">
        <v>67872300</v>
      </c>
      <c r="H175" t="str">
        <f t="shared" si="8"/>
        <v>No</v>
      </c>
      <c r="I175" s="3">
        <f t="shared" si="7"/>
        <v>4.2581953362622604E-2</v>
      </c>
    </row>
    <row r="176" spans="1:9" x14ac:dyDescent="0.3">
      <c r="A176" s="1">
        <v>45627</v>
      </c>
      <c r="B176">
        <v>97.66</v>
      </c>
      <c r="C176">
        <v>97.74</v>
      </c>
      <c r="D176">
        <v>87.44</v>
      </c>
      <c r="E176">
        <v>89.08</v>
      </c>
      <c r="F176">
        <v>83.99</v>
      </c>
      <c r="G176">
        <v>75454600</v>
      </c>
      <c r="H176" t="str">
        <f t="shared" si="8"/>
        <v>No</v>
      </c>
      <c r="I176" s="3">
        <f t="shared" si="7"/>
        <v>-9.2490545650999456E-2</v>
      </c>
    </row>
    <row r="177" spans="1:9" x14ac:dyDescent="0.3">
      <c r="A177" s="1">
        <v>45658</v>
      </c>
      <c r="B177">
        <v>89.09</v>
      </c>
      <c r="C177">
        <v>91.95</v>
      </c>
      <c r="D177">
        <v>85.28</v>
      </c>
      <c r="E177">
        <v>90.55</v>
      </c>
      <c r="F177">
        <v>86.2</v>
      </c>
      <c r="G177">
        <v>81128500</v>
      </c>
      <c r="H177" t="str">
        <f t="shared" si="8"/>
        <v>No</v>
      </c>
      <c r="I177" s="3">
        <f t="shared" si="7"/>
        <v>2.6312656268603574E-2</v>
      </c>
    </row>
    <row r="178" spans="1:9" x14ac:dyDescent="0.3">
      <c r="A178" s="1">
        <v>45689</v>
      </c>
      <c r="B178">
        <v>89.75</v>
      </c>
      <c r="C178">
        <v>93.94</v>
      </c>
      <c r="D178">
        <v>88.92</v>
      </c>
      <c r="E178">
        <v>93.9</v>
      </c>
      <c r="F178">
        <v>89.39</v>
      </c>
      <c r="G178">
        <v>60440200</v>
      </c>
      <c r="H178" t="str">
        <f t="shared" si="8"/>
        <v>No</v>
      </c>
      <c r="I178" s="3">
        <f t="shared" si="7"/>
        <v>3.7006960556844604E-2</v>
      </c>
    </row>
    <row r="179" spans="1:9" x14ac:dyDescent="0.3">
      <c r="A179" s="1">
        <v>45717</v>
      </c>
      <c r="B179">
        <v>94.04</v>
      </c>
      <c r="C179">
        <v>94.95</v>
      </c>
      <c r="D179">
        <v>88.29</v>
      </c>
      <c r="E179">
        <v>90.54</v>
      </c>
      <c r="F179">
        <v>86.19</v>
      </c>
      <c r="G179">
        <v>71625400</v>
      </c>
      <c r="H179" t="str">
        <f t="shared" si="8"/>
        <v>No</v>
      </c>
      <c r="I179" s="3">
        <f t="shared" si="7"/>
        <v>-3.5798187716746921E-2</v>
      </c>
    </row>
    <row r="180" spans="1:9" x14ac:dyDescent="0.3">
      <c r="A180" s="1">
        <v>45748</v>
      </c>
      <c r="B180">
        <v>90.79</v>
      </c>
      <c r="C180">
        <v>91.28</v>
      </c>
      <c r="D180">
        <v>76.92</v>
      </c>
      <c r="E180">
        <v>88.33</v>
      </c>
      <c r="F180">
        <v>84.95</v>
      </c>
      <c r="G180">
        <v>98136800</v>
      </c>
      <c r="H180" t="str">
        <f t="shared" si="8"/>
        <v>No</v>
      </c>
      <c r="I180" s="3">
        <f t="shared" si="7"/>
        <v>-1.4386819816683993E-2</v>
      </c>
    </row>
    <row r="181" spans="1:9" x14ac:dyDescent="0.3">
      <c r="A181" s="1">
        <v>45778</v>
      </c>
      <c r="B181">
        <v>88.64</v>
      </c>
      <c r="C181">
        <v>90.43</v>
      </c>
      <c r="D181">
        <v>86.36</v>
      </c>
      <c r="E181">
        <v>89.32</v>
      </c>
      <c r="F181">
        <v>85.9</v>
      </c>
      <c r="G181">
        <v>56342900</v>
      </c>
      <c r="H181" t="str">
        <f t="shared" si="8"/>
        <v>No</v>
      </c>
      <c r="I181" s="3">
        <f t="shared" si="7"/>
        <v>1.1183048852266175E-2</v>
      </c>
    </row>
    <row r="182" spans="1:9" x14ac:dyDescent="0.3">
      <c r="A182" s="1">
        <v>45809</v>
      </c>
      <c r="B182">
        <v>88.63</v>
      </c>
      <c r="C182">
        <v>91.77</v>
      </c>
      <c r="D182">
        <v>87.18</v>
      </c>
      <c r="E182">
        <v>89.06</v>
      </c>
      <c r="F182">
        <v>85.65</v>
      </c>
      <c r="G182">
        <v>67031600</v>
      </c>
      <c r="H182" t="str">
        <f t="shared" si="8"/>
        <v>No</v>
      </c>
      <c r="I182" s="3">
        <f t="shared" si="7"/>
        <v>-2.9103608847497187E-3</v>
      </c>
    </row>
    <row r="183" spans="1:9" x14ac:dyDescent="0.3">
      <c r="A183" s="1">
        <v>45839</v>
      </c>
      <c r="B183">
        <v>88.88</v>
      </c>
      <c r="C183">
        <v>92.18</v>
      </c>
      <c r="D183">
        <v>88.76</v>
      </c>
      <c r="E183">
        <v>89.14</v>
      </c>
      <c r="F183">
        <v>86.57</v>
      </c>
      <c r="G183">
        <v>81671300</v>
      </c>
      <c r="H183" t="str">
        <f t="shared" si="8"/>
        <v>No</v>
      </c>
      <c r="I183" s="3">
        <f t="shared" si="7"/>
        <v>1.0741389375364729E-2</v>
      </c>
    </row>
    <row r="184" spans="1:9" x14ac:dyDescent="0.3">
      <c r="A184" s="1">
        <v>45870</v>
      </c>
      <c r="B184">
        <v>90.03</v>
      </c>
      <c r="C184">
        <v>92.62</v>
      </c>
      <c r="D184">
        <v>88.08</v>
      </c>
      <c r="E184">
        <v>92.24</v>
      </c>
      <c r="F184">
        <v>89.58</v>
      </c>
      <c r="G184">
        <v>65945300</v>
      </c>
      <c r="H184" t="str">
        <f t="shared" si="8"/>
        <v>No</v>
      </c>
      <c r="I184" s="3">
        <f t="shared" si="7"/>
        <v>3.4769550652651082E-2</v>
      </c>
    </row>
    <row r="185" spans="1:9" x14ac:dyDescent="0.3">
      <c r="A185" s="1">
        <v>45901</v>
      </c>
      <c r="B185">
        <v>91.41</v>
      </c>
      <c r="C185">
        <v>93.58</v>
      </c>
      <c r="D185">
        <v>90.06</v>
      </c>
      <c r="E185">
        <v>91.42</v>
      </c>
      <c r="F185">
        <v>88.79</v>
      </c>
      <c r="G185">
        <v>67798100</v>
      </c>
      <c r="H185" t="str">
        <f t="shared" si="8"/>
        <v>No</v>
      </c>
      <c r="I185" s="3">
        <f t="shared" si="7"/>
        <v>-8.8189327974993459E-3</v>
      </c>
    </row>
    <row r="186" spans="1:9" x14ac:dyDescent="0.3">
      <c r="A186" s="1">
        <v>45931</v>
      </c>
      <c r="B186">
        <v>91.37</v>
      </c>
      <c r="C186">
        <v>92.93</v>
      </c>
      <c r="D186">
        <v>88.08</v>
      </c>
      <c r="E186">
        <v>89.18</v>
      </c>
      <c r="F186">
        <v>87.44</v>
      </c>
      <c r="G186">
        <v>79345300</v>
      </c>
      <c r="H186" t="str">
        <f t="shared" si="8"/>
        <v>No</v>
      </c>
      <c r="I186" s="3">
        <f t="shared" si="7"/>
        <v>-1.5204414911589192E-2</v>
      </c>
    </row>
    <row r="187" spans="1:9" x14ac:dyDescent="0.3">
      <c r="A187" s="1">
        <v>45962</v>
      </c>
      <c r="B187">
        <v>88.2</v>
      </c>
      <c r="C187">
        <v>91.6</v>
      </c>
      <c r="D187">
        <v>87.86</v>
      </c>
      <c r="E187">
        <v>91.34</v>
      </c>
      <c r="F187">
        <v>89.56</v>
      </c>
      <c r="G187">
        <v>73760700</v>
      </c>
      <c r="H187" t="str">
        <f t="shared" si="8"/>
        <v>No</v>
      </c>
      <c r="I187" s="3">
        <f t="shared" si="7"/>
        <v>2.4245196706312866E-2</v>
      </c>
    </row>
    <row r="188" spans="1:9" x14ac:dyDescent="0.3">
      <c r="A188" s="1">
        <v>45992</v>
      </c>
      <c r="B188">
        <v>90.45</v>
      </c>
      <c r="C188">
        <v>90.81</v>
      </c>
      <c r="D188">
        <v>87.48</v>
      </c>
      <c r="E188">
        <v>88.49</v>
      </c>
      <c r="F188">
        <v>86.76</v>
      </c>
      <c r="G188">
        <v>80014300</v>
      </c>
      <c r="H188" t="str">
        <f t="shared" si="8"/>
        <v>No</v>
      </c>
      <c r="I188" s="3">
        <f t="shared" si="7"/>
        <v>-3.126395712371588E-2</v>
      </c>
    </row>
    <row r="189" spans="1:9" x14ac:dyDescent="0.3">
      <c r="A189" s="1">
        <v>46023</v>
      </c>
      <c r="B189">
        <v>88.37</v>
      </c>
      <c r="C189">
        <v>92.82</v>
      </c>
      <c r="D189">
        <v>87.84</v>
      </c>
      <c r="E189">
        <v>90.8</v>
      </c>
      <c r="F189">
        <v>89.84</v>
      </c>
      <c r="G189">
        <v>88697400</v>
      </c>
      <c r="H189" t="str">
        <f t="shared" si="8"/>
        <v>No</v>
      </c>
      <c r="I189" s="3">
        <f t="shared" si="7"/>
        <v>3.5500230520977283E-2</v>
      </c>
    </row>
    <row r="190" spans="1:9" x14ac:dyDescent="0.3">
      <c r="A190" s="1">
        <v>46054</v>
      </c>
      <c r="B190">
        <v>90.9</v>
      </c>
      <c r="C190">
        <v>96.23</v>
      </c>
      <c r="D190">
        <v>89.07</v>
      </c>
      <c r="E190">
        <v>95.69</v>
      </c>
      <c r="F190">
        <v>94.68</v>
      </c>
      <c r="G190">
        <v>76826300</v>
      </c>
      <c r="H190" t="str">
        <f t="shared" si="8"/>
        <v>No</v>
      </c>
      <c r="I190" s="3">
        <f t="shared" si="7"/>
        <v>5.3873552983081163E-2</v>
      </c>
    </row>
    <row r="191" spans="1:9" x14ac:dyDescent="0.3">
      <c r="A191" s="1">
        <v>46082</v>
      </c>
      <c r="B191">
        <v>95.2</v>
      </c>
      <c r="C191">
        <v>96.2</v>
      </c>
      <c r="D191">
        <v>86.84</v>
      </c>
      <c r="E191">
        <v>88.7</v>
      </c>
      <c r="F191">
        <v>87.76</v>
      </c>
      <c r="G191">
        <v>102672600</v>
      </c>
      <c r="H191" t="str">
        <f t="shared" si="8"/>
        <v>No</v>
      </c>
      <c r="I191" s="3">
        <f t="shared" si="7"/>
        <v>-7.3088297422898241E-2</v>
      </c>
    </row>
    <row r="192" spans="1:9" x14ac:dyDescent="0.3">
      <c r="A192" s="1">
        <v>46113</v>
      </c>
      <c r="B192">
        <v>88.7</v>
      </c>
      <c r="C192">
        <v>97.06</v>
      </c>
      <c r="D192">
        <v>88.44</v>
      </c>
      <c r="E192">
        <v>96.33</v>
      </c>
      <c r="F192">
        <v>96.33</v>
      </c>
      <c r="G192">
        <v>61837600</v>
      </c>
      <c r="H192" t="str">
        <f t="shared" si="8"/>
        <v>No</v>
      </c>
      <c r="I192" s="3">
        <f t="shared" si="7"/>
        <v>9.7652689152233352E-2</v>
      </c>
    </row>
    <row r="193" spans="1:10" x14ac:dyDescent="0.3">
      <c r="A193" s="1">
        <v>46143</v>
      </c>
      <c r="B193">
        <v>96.6</v>
      </c>
      <c r="C193">
        <v>97.71</v>
      </c>
      <c r="D193">
        <v>93.78</v>
      </c>
      <c r="E193">
        <v>95.7</v>
      </c>
      <c r="F193">
        <v>95.7</v>
      </c>
      <c r="G193">
        <v>61353000</v>
      </c>
      <c r="H193" t="str">
        <f t="shared" si="8"/>
        <v>No</v>
      </c>
      <c r="I193" s="3">
        <f t="shared" si="7"/>
        <v>-6.5400186857675902E-3</v>
      </c>
    </row>
    <row r="194" spans="1:10" x14ac:dyDescent="0.3">
      <c r="A194" s="1">
        <v>46174</v>
      </c>
      <c r="B194">
        <v>95.13</v>
      </c>
      <c r="C194">
        <v>98.86</v>
      </c>
      <c r="D194">
        <v>93.68</v>
      </c>
      <c r="E194">
        <v>98.51</v>
      </c>
      <c r="F194">
        <v>98.51</v>
      </c>
      <c r="G194">
        <v>32044900</v>
      </c>
      <c r="H194" t="str">
        <f t="shared" si="8"/>
        <v>No</v>
      </c>
      <c r="I194" s="3">
        <f t="shared" si="7"/>
        <v>2.936259143155695E-2</v>
      </c>
    </row>
    <row r="195" spans="1:10" x14ac:dyDescent="0.3">
      <c r="A195" s="1">
        <v>46185</v>
      </c>
      <c r="B195">
        <v>97.86</v>
      </c>
      <c r="C195">
        <v>98.86</v>
      </c>
      <c r="D195">
        <v>97.86</v>
      </c>
      <c r="E195">
        <v>98.51</v>
      </c>
      <c r="F195">
        <v>98.51</v>
      </c>
      <c r="G195">
        <v>1938705</v>
      </c>
      <c r="H195" t="str">
        <f t="shared" si="8"/>
        <v>No</v>
      </c>
      <c r="I195" s="3">
        <f t="shared" si="7"/>
        <v>0</v>
      </c>
    </row>
    <row r="197" spans="1:10" x14ac:dyDescent="0.3">
      <c r="H197" s="2" t="s">
        <v>11</v>
      </c>
      <c r="I197" s="4">
        <f>AVERAGE(I3:I195)</f>
        <v>8.4824035693997855E-3</v>
      </c>
      <c r="J197" s="2"/>
    </row>
    <row r="198" spans="1:10" x14ac:dyDescent="0.3">
      <c r="H198" s="2" t="s">
        <v>12</v>
      </c>
      <c r="I198" s="4">
        <f>STDEV(I3:I195)</f>
        <v>5.0985409338467368E-2</v>
      </c>
      <c r="J198" s="2"/>
    </row>
    <row r="199" spans="1:10" x14ac:dyDescent="0.3">
      <c r="H199" s="2"/>
      <c r="I199" s="2"/>
      <c r="J199" s="2"/>
    </row>
  </sheetData>
  <sortState xmlns:xlrd2="http://schemas.microsoft.com/office/spreadsheetml/2017/richdata2" ref="A2:I195">
    <sortCondition ref="A2:A195"/>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7822-7D91-45A1-9417-B3EB62CFD8EC}">
  <dimension ref="A1:J199"/>
  <sheetViews>
    <sheetView workbookViewId="0">
      <pane ySplit="1" topLeftCell="A182" activePane="bottomLeft" state="frozen"/>
      <selection pane="bottomLeft" activeCell="H197" sqref="H197:J199"/>
    </sheetView>
  </sheetViews>
  <sheetFormatPr defaultRowHeight="14.4" x14ac:dyDescent="0.3"/>
  <cols>
    <col min="1" max="1" width="9.5546875" bestFit="1" customWidth="1"/>
    <col min="7" max="7" width="10" bestFit="1" customWidth="1"/>
    <col min="8" max="8" width="15.6640625" bestFit="1" customWidth="1"/>
  </cols>
  <sheetData>
    <row r="1" spans="1:9" s="2" customFormat="1" x14ac:dyDescent="0.3">
      <c r="A1" s="2" t="s">
        <v>0</v>
      </c>
      <c r="B1" s="2" t="s">
        <v>1</v>
      </c>
      <c r="C1" s="2" t="s">
        <v>2</v>
      </c>
      <c r="D1" s="2" t="s">
        <v>3</v>
      </c>
      <c r="E1" s="2" t="s">
        <v>4</v>
      </c>
      <c r="F1" s="2" t="s">
        <v>5</v>
      </c>
      <c r="G1" s="2" t="s">
        <v>6</v>
      </c>
      <c r="H1" s="2" t="s">
        <v>10</v>
      </c>
      <c r="I1" s="2" t="s">
        <v>15</v>
      </c>
    </row>
    <row r="2" spans="1:9" x14ac:dyDescent="0.3">
      <c r="A2" s="1">
        <v>40330</v>
      </c>
      <c r="B2">
        <v>119.88</v>
      </c>
      <c r="C2">
        <v>123.56</v>
      </c>
      <c r="D2">
        <v>117.05</v>
      </c>
      <c r="E2">
        <v>121.68</v>
      </c>
      <c r="F2">
        <v>121.68</v>
      </c>
      <c r="G2">
        <v>326007600</v>
      </c>
      <c r="H2" t="str">
        <f t="shared" ref="H2:H33" si="0">IF(ISNUMBER(SEARCH("Dividend",B2)),"Yes","No")</f>
        <v>No</v>
      </c>
    </row>
    <row r="3" spans="1:9" x14ac:dyDescent="0.3">
      <c r="A3" s="1">
        <v>40360</v>
      </c>
      <c r="B3">
        <v>120.91</v>
      </c>
      <c r="C3">
        <v>121.03</v>
      </c>
      <c r="D3">
        <v>113.08</v>
      </c>
      <c r="E3">
        <v>115.49</v>
      </c>
      <c r="F3">
        <v>115.49</v>
      </c>
      <c r="G3">
        <v>275523100</v>
      </c>
      <c r="H3" t="str">
        <f t="shared" si="0"/>
        <v>No</v>
      </c>
      <c r="I3" s="3">
        <f>(F3/F2)-1</f>
        <v>-5.0871137409599032E-2</v>
      </c>
    </row>
    <row r="4" spans="1:9" x14ac:dyDescent="0.3">
      <c r="A4" s="1">
        <v>40391</v>
      </c>
      <c r="B4">
        <v>116.12</v>
      </c>
      <c r="C4">
        <v>122.95</v>
      </c>
      <c r="D4">
        <v>115.2</v>
      </c>
      <c r="E4">
        <v>122.08</v>
      </c>
      <c r="F4">
        <v>122.08</v>
      </c>
      <c r="G4">
        <v>214805800</v>
      </c>
      <c r="H4" t="str">
        <f t="shared" si="0"/>
        <v>No</v>
      </c>
      <c r="I4" s="3">
        <f t="shared" ref="I4:I67" si="1">(F4/F3)-1</f>
        <v>5.7061217421421784E-2</v>
      </c>
    </row>
    <row r="5" spans="1:9" x14ac:dyDescent="0.3">
      <c r="A5" s="1">
        <v>40422</v>
      </c>
      <c r="B5">
        <v>122.15</v>
      </c>
      <c r="C5">
        <v>128.28</v>
      </c>
      <c r="D5">
        <v>121.15</v>
      </c>
      <c r="E5">
        <v>127.91</v>
      </c>
      <c r="F5">
        <v>127.91</v>
      </c>
      <c r="G5">
        <v>269515300</v>
      </c>
      <c r="H5" t="str">
        <f t="shared" si="0"/>
        <v>No</v>
      </c>
      <c r="I5" s="3">
        <f t="shared" si="1"/>
        <v>4.7755570117955504E-2</v>
      </c>
    </row>
    <row r="6" spans="1:9" x14ac:dyDescent="0.3">
      <c r="A6" s="1">
        <v>40452</v>
      </c>
      <c r="B6">
        <v>127.91</v>
      </c>
      <c r="C6">
        <v>134.85</v>
      </c>
      <c r="D6">
        <v>127.91</v>
      </c>
      <c r="E6">
        <v>132.62</v>
      </c>
      <c r="F6">
        <v>132.62</v>
      </c>
      <c r="G6">
        <v>365035100</v>
      </c>
      <c r="H6" t="str">
        <f t="shared" si="0"/>
        <v>No</v>
      </c>
      <c r="I6" s="3">
        <f t="shared" si="1"/>
        <v>3.6822766007349017E-2</v>
      </c>
    </row>
    <row r="7" spans="1:9" x14ac:dyDescent="0.3">
      <c r="A7" s="1">
        <v>40483</v>
      </c>
      <c r="B7">
        <v>132.85</v>
      </c>
      <c r="C7">
        <v>139.15</v>
      </c>
      <c r="D7">
        <v>129.47999999999999</v>
      </c>
      <c r="E7">
        <v>135.41999999999999</v>
      </c>
      <c r="F7">
        <v>135.41999999999999</v>
      </c>
      <c r="G7">
        <v>407549300</v>
      </c>
      <c r="H7" t="str">
        <f t="shared" si="0"/>
        <v>No</v>
      </c>
      <c r="I7" s="3">
        <f t="shared" si="1"/>
        <v>2.1112954305534393E-2</v>
      </c>
    </row>
    <row r="8" spans="1:9" x14ac:dyDescent="0.3">
      <c r="A8" s="1">
        <v>40513</v>
      </c>
      <c r="B8">
        <v>135.71</v>
      </c>
      <c r="C8">
        <v>139.54</v>
      </c>
      <c r="D8">
        <v>132.86000000000001</v>
      </c>
      <c r="E8">
        <v>138.72</v>
      </c>
      <c r="F8">
        <v>138.72</v>
      </c>
      <c r="G8">
        <v>305529800</v>
      </c>
      <c r="H8" t="str">
        <f t="shared" si="0"/>
        <v>No</v>
      </c>
      <c r="I8" s="3">
        <f t="shared" si="1"/>
        <v>2.436863092600805E-2</v>
      </c>
    </row>
    <row r="9" spans="1:9" x14ac:dyDescent="0.3">
      <c r="A9" s="1">
        <v>40544</v>
      </c>
      <c r="B9">
        <v>138.66999999999999</v>
      </c>
      <c r="C9">
        <v>139</v>
      </c>
      <c r="D9">
        <v>127.8</v>
      </c>
      <c r="E9">
        <v>129.87</v>
      </c>
      <c r="F9">
        <v>129.87</v>
      </c>
      <c r="G9">
        <v>353019800</v>
      </c>
      <c r="H9" t="str">
        <f t="shared" si="0"/>
        <v>No</v>
      </c>
      <c r="I9" s="3">
        <f t="shared" si="1"/>
        <v>-6.3797577854671217E-2</v>
      </c>
    </row>
    <row r="10" spans="1:9" x14ac:dyDescent="0.3">
      <c r="A10" s="1">
        <v>40575</v>
      </c>
      <c r="B10">
        <v>130.52000000000001</v>
      </c>
      <c r="C10">
        <v>138.19999999999999</v>
      </c>
      <c r="D10">
        <v>129.28</v>
      </c>
      <c r="E10">
        <v>137.66</v>
      </c>
      <c r="F10">
        <v>137.66</v>
      </c>
      <c r="G10">
        <v>238786500</v>
      </c>
      <c r="H10" t="str">
        <f t="shared" si="0"/>
        <v>No</v>
      </c>
      <c r="I10" s="3">
        <f t="shared" si="1"/>
        <v>5.9983059983059972E-2</v>
      </c>
    </row>
    <row r="11" spans="1:9" x14ac:dyDescent="0.3">
      <c r="A11" s="1">
        <v>40603</v>
      </c>
      <c r="B11">
        <v>138.57</v>
      </c>
      <c r="C11">
        <v>141.28</v>
      </c>
      <c r="D11">
        <v>135.22999999999999</v>
      </c>
      <c r="E11">
        <v>139.86000000000001</v>
      </c>
      <c r="F11">
        <v>139.86000000000001</v>
      </c>
      <c r="G11">
        <v>306448400</v>
      </c>
      <c r="H11" t="str">
        <f t="shared" si="0"/>
        <v>No</v>
      </c>
      <c r="I11" s="3">
        <f t="shared" si="1"/>
        <v>1.5981403457794752E-2</v>
      </c>
    </row>
    <row r="12" spans="1:9" x14ac:dyDescent="0.3">
      <c r="A12" s="1">
        <v>40634</v>
      </c>
      <c r="B12">
        <v>138.65</v>
      </c>
      <c r="C12">
        <v>153.03</v>
      </c>
      <c r="D12">
        <v>137.72</v>
      </c>
      <c r="E12">
        <v>152.37</v>
      </c>
      <c r="F12">
        <v>152.37</v>
      </c>
      <c r="G12">
        <v>303490300</v>
      </c>
      <c r="H12" t="str">
        <f t="shared" si="0"/>
        <v>No</v>
      </c>
      <c r="I12" s="3">
        <f t="shared" si="1"/>
        <v>8.9446589446589453E-2</v>
      </c>
    </row>
    <row r="13" spans="1:9" x14ac:dyDescent="0.3">
      <c r="A13" s="1">
        <v>40664</v>
      </c>
      <c r="B13">
        <v>151.46</v>
      </c>
      <c r="C13">
        <v>153.61000000000001</v>
      </c>
      <c r="D13">
        <v>142.55000000000001</v>
      </c>
      <c r="E13">
        <v>149.63999999999999</v>
      </c>
      <c r="F13">
        <v>149.63999999999999</v>
      </c>
      <c r="G13">
        <v>382778500</v>
      </c>
      <c r="H13" t="str">
        <f t="shared" si="0"/>
        <v>No</v>
      </c>
      <c r="I13" s="3">
        <f t="shared" si="1"/>
        <v>-1.7916912778106031E-2</v>
      </c>
    </row>
    <row r="14" spans="1:9" x14ac:dyDescent="0.3">
      <c r="A14" s="1">
        <v>40695</v>
      </c>
      <c r="B14">
        <v>149.66</v>
      </c>
      <c r="C14">
        <v>151.86000000000001</v>
      </c>
      <c r="D14">
        <v>145.19999999999999</v>
      </c>
      <c r="E14">
        <v>146</v>
      </c>
      <c r="F14">
        <v>146</v>
      </c>
      <c r="G14">
        <v>291338100</v>
      </c>
      <c r="H14" t="str">
        <f t="shared" si="0"/>
        <v>No</v>
      </c>
      <c r="I14" s="3">
        <f t="shared" si="1"/>
        <v>-2.4325046778935988E-2</v>
      </c>
    </row>
    <row r="15" spans="1:9" x14ac:dyDescent="0.3">
      <c r="A15" s="1">
        <v>40725</v>
      </c>
      <c r="B15">
        <v>144.76</v>
      </c>
      <c r="C15">
        <v>159.25</v>
      </c>
      <c r="D15">
        <v>143.97</v>
      </c>
      <c r="E15">
        <v>158.29</v>
      </c>
      <c r="F15">
        <v>158.29</v>
      </c>
      <c r="G15">
        <v>328150200</v>
      </c>
      <c r="H15" t="str">
        <f t="shared" si="0"/>
        <v>No</v>
      </c>
      <c r="I15" s="3">
        <f t="shared" si="1"/>
        <v>8.4178082191780801E-2</v>
      </c>
    </row>
    <row r="16" spans="1:9" x14ac:dyDescent="0.3">
      <c r="A16" s="1">
        <v>40756</v>
      </c>
      <c r="B16">
        <v>157.47</v>
      </c>
      <c r="C16">
        <v>184.82</v>
      </c>
      <c r="D16">
        <v>156.78</v>
      </c>
      <c r="E16">
        <v>177.72</v>
      </c>
      <c r="F16">
        <v>177.72</v>
      </c>
      <c r="G16">
        <v>768547400</v>
      </c>
      <c r="H16" t="str">
        <f t="shared" si="0"/>
        <v>No</v>
      </c>
      <c r="I16" s="3">
        <f t="shared" si="1"/>
        <v>0.12274938404194846</v>
      </c>
    </row>
    <row r="17" spans="1:9" x14ac:dyDescent="0.3">
      <c r="A17" s="1">
        <v>40787</v>
      </c>
      <c r="B17">
        <v>177.44</v>
      </c>
      <c r="C17">
        <v>185.85</v>
      </c>
      <c r="D17">
        <v>154.19</v>
      </c>
      <c r="E17">
        <v>158.06</v>
      </c>
      <c r="F17">
        <v>158.06</v>
      </c>
      <c r="G17">
        <v>496007600</v>
      </c>
      <c r="H17" t="str">
        <f t="shared" si="0"/>
        <v>No</v>
      </c>
      <c r="I17" s="3">
        <f t="shared" si="1"/>
        <v>-0.11062345262210216</v>
      </c>
    </row>
    <row r="18" spans="1:9" x14ac:dyDescent="0.3">
      <c r="A18" s="1">
        <v>40817</v>
      </c>
      <c r="B18">
        <v>161.09</v>
      </c>
      <c r="C18">
        <v>170.29</v>
      </c>
      <c r="D18">
        <v>155.27000000000001</v>
      </c>
      <c r="E18">
        <v>167.34</v>
      </c>
      <c r="F18">
        <v>167.34</v>
      </c>
      <c r="G18">
        <v>271385800</v>
      </c>
      <c r="H18" t="str">
        <f t="shared" si="0"/>
        <v>No</v>
      </c>
      <c r="I18" s="3">
        <f t="shared" si="1"/>
        <v>5.871188156396312E-2</v>
      </c>
    </row>
    <row r="19" spans="1:9" x14ac:dyDescent="0.3">
      <c r="A19" s="1">
        <v>40848</v>
      </c>
      <c r="B19">
        <v>164.03</v>
      </c>
      <c r="C19">
        <v>175.46</v>
      </c>
      <c r="D19">
        <v>162.07</v>
      </c>
      <c r="E19">
        <v>170.13</v>
      </c>
      <c r="F19">
        <v>170.13</v>
      </c>
      <c r="G19">
        <v>285132800</v>
      </c>
      <c r="H19" t="str">
        <f t="shared" si="0"/>
        <v>No</v>
      </c>
      <c r="I19" s="3">
        <f t="shared" si="1"/>
        <v>1.6672642524202086E-2</v>
      </c>
    </row>
    <row r="20" spans="1:9" x14ac:dyDescent="0.3">
      <c r="A20" s="1">
        <v>40878</v>
      </c>
      <c r="B20">
        <v>169.85</v>
      </c>
      <c r="C20">
        <v>170.8</v>
      </c>
      <c r="D20">
        <v>148.27000000000001</v>
      </c>
      <c r="E20">
        <v>151.99</v>
      </c>
      <c r="F20">
        <v>151.99</v>
      </c>
      <c r="G20">
        <v>292635000</v>
      </c>
      <c r="H20" t="str">
        <f t="shared" si="0"/>
        <v>No</v>
      </c>
      <c r="I20" s="3">
        <f t="shared" si="1"/>
        <v>-0.1066243460882853</v>
      </c>
    </row>
    <row r="21" spans="1:9" x14ac:dyDescent="0.3">
      <c r="A21" s="1">
        <v>40909</v>
      </c>
      <c r="B21">
        <v>154.76</v>
      </c>
      <c r="C21">
        <v>169.86</v>
      </c>
      <c r="D21">
        <v>154.55000000000001</v>
      </c>
      <c r="E21">
        <v>169.31</v>
      </c>
      <c r="F21">
        <v>169.31</v>
      </c>
      <c r="G21">
        <v>223453900</v>
      </c>
      <c r="H21" t="str">
        <f t="shared" si="0"/>
        <v>No</v>
      </c>
      <c r="I21" s="3">
        <f t="shared" si="1"/>
        <v>0.11395486545167444</v>
      </c>
    </row>
    <row r="22" spans="1:9" x14ac:dyDescent="0.3">
      <c r="A22" s="1">
        <v>40940</v>
      </c>
      <c r="B22">
        <v>169.75</v>
      </c>
      <c r="C22">
        <v>174</v>
      </c>
      <c r="D22">
        <v>164</v>
      </c>
      <c r="E22">
        <v>164.29</v>
      </c>
      <c r="F22">
        <v>164.29</v>
      </c>
      <c r="G22">
        <v>259837600</v>
      </c>
      <c r="H22" t="str">
        <f t="shared" si="0"/>
        <v>No</v>
      </c>
      <c r="I22" s="3">
        <f t="shared" si="1"/>
        <v>-2.9649754887484558E-2</v>
      </c>
    </row>
    <row r="23" spans="1:9" x14ac:dyDescent="0.3">
      <c r="A23" s="1">
        <v>40969</v>
      </c>
      <c r="B23">
        <v>166.1</v>
      </c>
      <c r="C23">
        <v>167.72</v>
      </c>
      <c r="D23">
        <v>158.13</v>
      </c>
      <c r="E23">
        <v>162.12</v>
      </c>
      <c r="F23">
        <v>162.12</v>
      </c>
      <c r="G23">
        <v>272582900</v>
      </c>
      <c r="H23" t="str">
        <f t="shared" si="0"/>
        <v>No</v>
      </c>
      <c r="I23" s="3">
        <f t="shared" si="1"/>
        <v>-1.320835108649332E-2</v>
      </c>
    </row>
    <row r="24" spans="1:9" x14ac:dyDescent="0.3">
      <c r="A24" s="1">
        <v>41000</v>
      </c>
      <c r="B24">
        <v>161.96</v>
      </c>
      <c r="C24">
        <v>163.56</v>
      </c>
      <c r="D24">
        <v>156.58000000000001</v>
      </c>
      <c r="E24">
        <v>161.88</v>
      </c>
      <c r="F24">
        <v>161.88</v>
      </c>
      <c r="G24">
        <v>198905400</v>
      </c>
      <c r="H24" t="str">
        <f t="shared" si="0"/>
        <v>No</v>
      </c>
      <c r="I24" s="3">
        <f t="shared" si="1"/>
        <v>-1.4803849000740721E-3</v>
      </c>
    </row>
    <row r="25" spans="1:9" x14ac:dyDescent="0.3">
      <c r="A25" s="1">
        <v>41030</v>
      </c>
      <c r="B25">
        <v>162.09</v>
      </c>
      <c r="C25">
        <v>162.18</v>
      </c>
      <c r="D25">
        <v>148.53</v>
      </c>
      <c r="E25">
        <v>151.62</v>
      </c>
      <c r="F25">
        <v>151.62</v>
      </c>
      <c r="G25">
        <v>256298600</v>
      </c>
      <c r="H25" t="str">
        <f t="shared" si="0"/>
        <v>No</v>
      </c>
      <c r="I25" s="3">
        <f t="shared" si="1"/>
        <v>-6.3380281690140761E-2</v>
      </c>
    </row>
    <row r="26" spans="1:9" x14ac:dyDescent="0.3">
      <c r="A26" s="1">
        <v>41061</v>
      </c>
      <c r="B26">
        <v>155.41</v>
      </c>
      <c r="C26">
        <v>159.19999999999999</v>
      </c>
      <c r="D26">
        <v>150.15</v>
      </c>
      <c r="E26">
        <v>155.19</v>
      </c>
      <c r="F26">
        <v>155.19</v>
      </c>
      <c r="G26">
        <v>237977300</v>
      </c>
      <c r="H26" t="str">
        <f t="shared" si="0"/>
        <v>No</v>
      </c>
      <c r="I26" s="3">
        <f t="shared" si="1"/>
        <v>2.3545706371191022E-2</v>
      </c>
    </row>
    <row r="27" spans="1:9" x14ac:dyDescent="0.3">
      <c r="A27" s="1">
        <v>41091</v>
      </c>
      <c r="B27">
        <v>154.66999999999999</v>
      </c>
      <c r="C27">
        <v>157.96</v>
      </c>
      <c r="D27">
        <v>150.85</v>
      </c>
      <c r="E27">
        <v>156.49</v>
      </c>
      <c r="F27">
        <v>156.49</v>
      </c>
      <c r="G27">
        <v>155221000</v>
      </c>
      <c r="H27" t="str">
        <f t="shared" si="0"/>
        <v>No</v>
      </c>
      <c r="I27" s="3">
        <f t="shared" si="1"/>
        <v>8.3768284038920893E-3</v>
      </c>
    </row>
    <row r="28" spans="1:9" x14ac:dyDescent="0.3">
      <c r="A28" s="1">
        <v>41122</v>
      </c>
      <c r="B28">
        <v>155.18</v>
      </c>
      <c r="C28">
        <v>164.22</v>
      </c>
      <c r="D28">
        <v>153.61000000000001</v>
      </c>
      <c r="E28">
        <v>164.22</v>
      </c>
      <c r="F28">
        <v>164.22</v>
      </c>
      <c r="G28">
        <v>190757200</v>
      </c>
      <c r="H28" t="str">
        <f t="shared" si="0"/>
        <v>No</v>
      </c>
      <c r="I28" s="3">
        <f t="shared" si="1"/>
        <v>4.9396127548086088E-2</v>
      </c>
    </row>
    <row r="29" spans="1:9" x14ac:dyDescent="0.3">
      <c r="A29" s="1">
        <v>41153</v>
      </c>
      <c r="B29">
        <v>164.11</v>
      </c>
      <c r="C29">
        <v>173.18</v>
      </c>
      <c r="D29">
        <v>163.66</v>
      </c>
      <c r="E29">
        <v>171.89</v>
      </c>
      <c r="F29">
        <v>171.89</v>
      </c>
      <c r="G29">
        <v>229736700</v>
      </c>
      <c r="H29" t="str">
        <f t="shared" si="0"/>
        <v>No</v>
      </c>
      <c r="I29" s="3">
        <f t="shared" si="1"/>
        <v>4.670563877724998E-2</v>
      </c>
    </row>
    <row r="30" spans="1:9" x14ac:dyDescent="0.3">
      <c r="A30" s="1">
        <v>41183</v>
      </c>
      <c r="B30">
        <v>172.83</v>
      </c>
      <c r="C30">
        <v>174.07</v>
      </c>
      <c r="D30">
        <v>164.6</v>
      </c>
      <c r="E30">
        <v>166.83</v>
      </c>
      <c r="F30">
        <v>166.83</v>
      </c>
      <c r="G30">
        <v>165237600</v>
      </c>
      <c r="H30" t="str">
        <f t="shared" si="0"/>
        <v>No</v>
      </c>
      <c r="I30" s="3">
        <f t="shared" si="1"/>
        <v>-2.9437430915119966E-2</v>
      </c>
    </row>
    <row r="31" spans="1:9" x14ac:dyDescent="0.3">
      <c r="A31" s="1">
        <v>41214</v>
      </c>
      <c r="B31">
        <v>167.02</v>
      </c>
      <c r="C31">
        <v>170.01</v>
      </c>
      <c r="D31">
        <v>162.30000000000001</v>
      </c>
      <c r="E31">
        <v>166.05</v>
      </c>
      <c r="F31">
        <v>166.05</v>
      </c>
      <c r="G31">
        <v>173575600</v>
      </c>
      <c r="H31" t="str">
        <f t="shared" si="0"/>
        <v>No</v>
      </c>
      <c r="I31" s="3">
        <f t="shared" si="1"/>
        <v>-4.6754180902714992E-3</v>
      </c>
    </row>
    <row r="32" spans="1:9" x14ac:dyDescent="0.3">
      <c r="A32" s="1">
        <v>41244</v>
      </c>
      <c r="B32">
        <v>166.11</v>
      </c>
      <c r="C32">
        <v>166.94</v>
      </c>
      <c r="D32">
        <v>158.38999999999999</v>
      </c>
      <c r="E32">
        <v>162.02000000000001</v>
      </c>
      <c r="F32">
        <v>162.02000000000001</v>
      </c>
      <c r="G32">
        <v>200021700</v>
      </c>
      <c r="H32" t="str">
        <f t="shared" si="0"/>
        <v>No</v>
      </c>
      <c r="I32" s="3">
        <f t="shared" si="1"/>
        <v>-2.4269798253538144E-2</v>
      </c>
    </row>
    <row r="33" spans="1:9" x14ac:dyDescent="0.3">
      <c r="A33" s="1">
        <v>41275</v>
      </c>
      <c r="B33">
        <v>163.49</v>
      </c>
      <c r="C33">
        <v>164.4</v>
      </c>
      <c r="D33">
        <v>158.88999999999999</v>
      </c>
      <c r="E33">
        <v>161.19999999999999</v>
      </c>
      <c r="F33">
        <v>161.19999999999999</v>
      </c>
      <c r="G33">
        <v>222470200</v>
      </c>
      <c r="H33" t="str">
        <f t="shared" si="0"/>
        <v>No</v>
      </c>
      <c r="I33" s="3">
        <f t="shared" si="1"/>
        <v>-5.0611035674609228E-3</v>
      </c>
    </row>
    <row r="34" spans="1:9" x14ac:dyDescent="0.3">
      <c r="A34" s="1">
        <v>41306</v>
      </c>
      <c r="B34">
        <v>162.66</v>
      </c>
      <c r="C34">
        <v>162.96</v>
      </c>
      <c r="D34">
        <v>150.84</v>
      </c>
      <c r="E34">
        <v>153</v>
      </c>
      <c r="F34">
        <v>153</v>
      </c>
      <c r="G34">
        <v>241668700</v>
      </c>
      <c r="H34" t="str">
        <f t="shared" ref="H34:H65" si="2">IF(ISNUMBER(SEARCH("Dividend",B34)),"Yes","No")</f>
        <v>No</v>
      </c>
      <c r="I34" s="3">
        <f t="shared" si="1"/>
        <v>-5.0868486352357301E-2</v>
      </c>
    </row>
    <row r="35" spans="1:9" x14ac:dyDescent="0.3">
      <c r="A35" s="1">
        <v>41334</v>
      </c>
      <c r="B35">
        <v>153.16</v>
      </c>
      <c r="C35">
        <v>156.43</v>
      </c>
      <c r="D35">
        <v>151.4</v>
      </c>
      <c r="E35">
        <v>154.44999999999999</v>
      </c>
      <c r="F35">
        <v>154.44999999999999</v>
      </c>
      <c r="G35">
        <v>160615100</v>
      </c>
      <c r="H35" t="str">
        <f t="shared" si="2"/>
        <v>No</v>
      </c>
      <c r="I35" s="3">
        <f t="shared" si="1"/>
        <v>9.4771241830065023E-3</v>
      </c>
    </row>
    <row r="36" spans="1:9" x14ac:dyDescent="0.3">
      <c r="A36" s="1">
        <v>41365</v>
      </c>
      <c r="B36">
        <v>154.57</v>
      </c>
      <c r="C36">
        <v>154.93</v>
      </c>
      <c r="D36">
        <v>130.51</v>
      </c>
      <c r="E36">
        <v>142.77000000000001</v>
      </c>
      <c r="F36">
        <v>142.77000000000001</v>
      </c>
      <c r="G36">
        <v>454473800</v>
      </c>
      <c r="H36" t="str">
        <f t="shared" si="2"/>
        <v>No</v>
      </c>
      <c r="I36" s="3">
        <f t="shared" si="1"/>
        <v>-7.5623179022337172E-2</v>
      </c>
    </row>
    <row r="37" spans="1:9" x14ac:dyDescent="0.3">
      <c r="A37" s="1">
        <v>41395</v>
      </c>
      <c r="B37">
        <v>140.59</v>
      </c>
      <c r="C37">
        <v>142.81</v>
      </c>
      <c r="D37">
        <v>130.85</v>
      </c>
      <c r="E37">
        <v>133.91999999999999</v>
      </c>
      <c r="F37">
        <v>133.91999999999999</v>
      </c>
      <c r="G37">
        <v>278779500</v>
      </c>
      <c r="H37" t="str">
        <f t="shared" si="2"/>
        <v>No</v>
      </c>
      <c r="I37" s="3">
        <f t="shared" si="1"/>
        <v>-6.1987812565665212E-2</v>
      </c>
    </row>
    <row r="38" spans="1:9" x14ac:dyDescent="0.3">
      <c r="A38" s="1">
        <v>41426</v>
      </c>
      <c r="B38">
        <v>134.77000000000001</v>
      </c>
      <c r="C38">
        <v>137.62</v>
      </c>
      <c r="D38">
        <v>114.68</v>
      </c>
      <c r="E38">
        <v>119.11</v>
      </c>
      <c r="F38">
        <v>119.11</v>
      </c>
      <c r="G38">
        <v>254151000</v>
      </c>
      <c r="H38" t="str">
        <f t="shared" si="2"/>
        <v>No</v>
      </c>
      <c r="I38" s="3">
        <f t="shared" si="1"/>
        <v>-0.11058841099163674</v>
      </c>
    </row>
    <row r="39" spans="1:9" x14ac:dyDescent="0.3">
      <c r="A39" s="1">
        <v>41456</v>
      </c>
      <c r="B39">
        <v>119.94</v>
      </c>
      <c r="C39">
        <v>130.13999999999999</v>
      </c>
      <c r="D39">
        <v>116.74</v>
      </c>
      <c r="E39">
        <v>127.96</v>
      </c>
      <c r="F39">
        <v>127.96</v>
      </c>
      <c r="G39">
        <v>191322900</v>
      </c>
      <c r="H39" t="str">
        <f t="shared" si="2"/>
        <v>No</v>
      </c>
      <c r="I39" s="3">
        <f t="shared" si="1"/>
        <v>7.4301066241289515E-2</v>
      </c>
    </row>
    <row r="40" spans="1:9" x14ac:dyDescent="0.3">
      <c r="A40" s="1">
        <v>41487</v>
      </c>
      <c r="B40">
        <v>127.84</v>
      </c>
      <c r="C40">
        <v>137.55000000000001</v>
      </c>
      <c r="D40">
        <v>123.55</v>
      </c>
      <c r="E40">
        <v>134.62</v>
      </c>
      <c r="F40">
        <v>134.62</v>
      </c>
      <c r="G40">
        <v>194596100</v>
      </c>
      <c r="H40" t="str">
        <f t="shared" si="2"/>
        <v>No</v>
      </c>
      <c r="I40" s="3">
        <f t="shared" si="1"/>
        <v>5.2047514848390319E-2</v>
      </c>
    </row>
    <row r="41" spans="1:9" x14ac:dyDescent="0.3">
      <c r="A41" s="1">
        <v>41518</v>
      </c>
      <c r="B41">
        <v>135.46</v>
      </c>
      <c r="C41">
        <v>136.79</v>
      </c>
      <c r="D41">
        <v>125.15</v>
      </c>
      <c r="E41">
        <v>128.18</v>
      </c>
      <c r="F41">
        <v>128.18</v>
      </c>
      <c r="G41">
        <v>203875800</v>
      </c>
      <c r="H41" t="str">
        <f t="shared" si="2"/>
        <v>No</v>
      </c>
      <c r="I41" s="3">
        <f t="shared" si="1"/>
        <v>-4.7838359827663046E-2</v>
      </c>
    </row>
    <row r="42" spans="1:9" x14ac:dyDescent="0.3">
      <c r="A42" s="1">
        <v>41548</v>
      </c>
      <c r="B42">
        <v>125.25</v>
      </c>
      <c r="C42">
        <v>131.44</v>
      </c>
      <c r="D42">
        <v>121.85</v>
      </c>
      <c r="E42">
        <v>127.74</v>
      </c>
      <c r="F42">
        <v>127.74</v>
      </c>
      <c r="G42">
        <v>203478400</v>
      </c>
      <c r="H42" t="str">
        <f t="shared" si="2"/>
        <v>No</v>
      </c>
      <c r="I42" s="3">
        <f t="shared" si="1"/>
        <v>-3.4326728038696075E-3</v>
      </c>
    </row>
    <row r="43" spans="1:9" x14ac:dyDescent="0.3">
      <c r="A43" s="1">
        <v>41579</v>
      </c>
      <c r="B43">
        <v>126.86</v>
      </c>
      <c r="C43">
        <v>127.52</v>
      </c>
      <c r="D43">
        <v>119.13</v>
      </c>
      <c r="E43">
        <v>120.7</v>
      </c>
      <c r="F43">
        <v>120.7</v>
      </c>
      <c r="G43">
        <v>130629300</v>
      </c>
      <c r="H43" t="str">
        <f t="shared" si="2"/>
        <v>No</v>
      </c>
      <c r="I43" s="3">
        <f t="shared" si="1"/>
        <v>-5.5111946140598E-2</v>
      </c>
    </row>
    <row r="44" spans="1:9" x14ac:dyDescent="0.3">
      <c r="A44" s="1">
        <v>41609</v>
      </c>
      <c r="B44">
        <v>119.2</v>
      </c>
      <c r="C44">
        <v>122.32</v>
      </c>
      <c r="D44">
        <v>114.46</v>
      </c>
      <c r="E44">
        <v>116.12</v>
      </c>
      <c r="F44">
        <v>116.12</v>
      </c>
      <c r="G44">
        <v>185368200</v>
      </c>
      <c r="H44" t="str">
        <f t="shared" si="2"/>
        <v>No</v>
      </c>
      <c r="I44" s="3">
        <f t="shared" si="1"/>
        <v>-3.7945318972659514E-2</v>
      </c>
    </row>
    <row r="45" spans="1:9" x14ac:dyDescent="0.3">
      <c r="A45" s="1">
        <v>41640</v>
      </c>
      <c r="B45">
        <v>117.93</v>
      </c>
      <c r="C45">
        <v>122.51</v>
      </c>
      <c r="D45">
        <v>117.11</v>
      </c>
      <c r="E45">
        <v>120.09</v>
      </c>
      <c r="F45">
        <v>120.09</v>
      </c>
      <c r="G45">
        <v>152949800</v>
      </c>
      <c r="H45" t="str">
        <f t="shared" si="2"/>
        <v>No</v>
      </c>
      <c r="I45" s="3">
        <f t="shared" si="1"/>
        <v>3.4188770237685073E-2</v>
      </c>
    </row>
    <row r="46" spans="1:9" x14ac:dyDescent="0.3">
      <c r="A46" s="1">
        <v>41671</v>
      </c>
      <c r="B46">
        <v>120.47</v>
      </c>
      <c r="C46">
        <v>129.53</v>
      </c>
      <c r="D46">
        <v>120.32</v>
      </c>
      <c r="E46">
        <v>127.62</v>
      </c>
      <c r="F46">
        <v>127.62</v>
      </c>
      <c r="G46">
        <v>156504800</v>
      </c>
      <c r="H46" t="str">
        <f t="shared" si="2"/>
        <v>No</v>
      </c>
      <c r="I46" s="3">
        <f t="shared" si="1"/>
        <v>6.2702972770422249E-2</v>
      </c>
    </row>
    <row r="47" spans="1:9" x14ac:dyDescent="0.3">
      <c r="A47" s="1">
        <v>41699</v>
      </c>
      <c r="B47">
        <v>130</v>
      </c>
      <c r="C47">
        <v>133.69</v>
      </c>
      <c r="D47">
        <v>123.57</v>
      </c>
      <c r="E47">
        <v>123.61</v>
      </c>
      <c r="F47">
        <v>123.61</v>
      </c>
      <c r="G47">
        <v>182522600</v>
      </c>
      <c r="H47" t="str">
        <f t="shared" si="2"/>
        <v>No</v>
      </c>
      <c r="I47" s="3">
        <f t="shared" si="1"/>
        <v>-3.1421407302930637E-2</v>
      </c>
    </row>
    <row r="48" spans="1:9" x14ac:dyDescent="0.3">
      <c r="A48" s="1">
        <v>41730</v>
      </c>
      <c r="B48">
        <v>123.71</v>
      </c>
      <c r="C48">
        <v>128.25</v>
      </c>
      <c r="D48">
        <v>122.84</v>
      </c>
      <c r="E48">
        <v>124.22</v>
      </c>
      <c r="F48">
        <v>124.22</v>
      </c>
      <c r="G48">
        <v>127851700</v>
      </c>
      <c r="H48" t="str">
        <f t="shared" si="2"/>
        <v>No</v>
      </c>
      <c r="I48" s="3">
        <f t="shared" si="1"/>
        <v>4.934875819108564E-3</v>
      </c>
    </row>
    <row r="49" spans="1:9" x14ac:dyDescent="0.3">
      <c r="A49" s="1">
        <v>41760</v>
      </c>
      <c r="B49">
        <v>123.17</v>
      </c>
      <c r="C49">
        <v>126.63</v>
      </c>
      <c r="D49">
        <v>119.62</v>
      </c>
      <c r="E49">
        <v>120.43</v>
      </c>
      <c r="F49">
        <v>120.43</v>
      </c>
      <c r="G49">
        <v>113286900</v>
      </c>
      <c r="H49" t="str">
        <f t="shared" si="2"/>
        <v>No</v>
      </c>
      <c r="I49" s="3">
        <f t="shared" si="1"/>
        <v>-3.0510384801159196E-2</v>
      </c>
    </row>
    <row r="50" spans="1:9" x14ac:dyDescent="0.3">
      <c r="A50" s="1">
        <v>41791</v>
      </c>
      <c r="B50">
        <v>119.93</v>
      </c>
      <c r="C50">
        <v>128.04</v>
      </c>
      <c r="D50">
        <v>119.42</v>
      </c>
      <c r="E50">
        <v>128.04</v>
      </c>
      <c r="F50">
        <v>128.04</v>
      </c>
      <c r="G50">
        <v>139939600</v>
      </c>
      <c r="H50" t="str">
        <f t="shared" si="2"/>
        <v>No</v>
      </c>
      <c r="I50" s="3">
        <f t="shared" si="1"/>
        <v>6.319023499128118E-2</v>
      </c>
    </row>
    <row r="51" spans="1:9" x14ac:dyDescent="0.3">
      <c r="A51" s="1">
        <v>41821</v>
      </c>
      <c r="B51">
        <v>127.99</v>
      </c>
      <c r="C51">
        <v>129.21</v>
      </c>
      <c r="D51">
        <v>123.23</v>
      </c>
      <c r="E51">
        <v>123.39</v>
      </c>
      <c r="F51">
        <v>123.39</v>
      </c>
      <c r="G51">
        <v>140606000</v>
      </c>
      <c r="H51" t="str">
        <f t="shared" si="2"/>
        <v>No</v>
      </c>
      <c r="I51" s="3">
        <f t="shared" si="1"/>
        <v>-3.6316776007497609E-2</v>
      </c>
    </row>
    <row r="52" spans="1:9" x14ac:dyDescent="0.3">
      <c r="A52" s="1">
        <v>41852</v>
      </c>
      <c r="B52">
        <v>124.54</v>
      </c>
      <c r="C52">
        <v>126.81</v>
      </c>
      <c r="D52">
        <v>122.45</v>
      </c>
      <c r="E52">
        <v>123.86</v>
      </c>
      <c r="F52">
        <v>123.86</v>
      </c>
      <c r="G52">
        <v>118179700</v>
      </c>
      <c r="H52" t="str">
        <f t="shared" si="2"/>
        <v>No</v>
      </c>
      <c r="I52" s="3">
        <f t="shared" si="1"/>
        <v>3.8090607018397282E-3</v>
      </c>
    </row>
    <row r="53" spans="1:9" x14ac:dyDescent="0.3">
      <c r="A53" s="1">
        <v>41883</v>
      </c>
      <c r="B53">
        <v>121.97</v>
      </c>
      <c r="C53">
        <v>122.66</v>
      </c>
      <c r="D53">
        <v>115.85</v>
      </c>
      <c r="E53">
        <v>116.21</v>
      </c>
      <c r="F53">
        <v>116.21</v>
      </c>
      <c r="G53">
        <v>140533100</v>
      </c>
      <c r="H53" t="str">
        <f t="shared" si="2"/>
        <v>No</v>
      </c>
      <c r="I53" s="3">
        <f t="shared" si="1"/>
        <v>-6.1763281123849545E-2</v>
      </c>
    </row>
    <row r="54" spans="1:9" x14ac:dyDescent="0.3">
      <c r="A54" s="1">
        <v>41913</v>
      </c>
      <c r="B54">
        <v>116.61</v>
      </c>
      <c r="C54">
        <v>120.5</v>
      </c>
      <c r="D54">
        <v>111.66</v>
      </c>
      <c r="E54">
        <v>112.66</v>
      </c>
      <c r="F54">
        <v>112.66</v>
      </c>
      <c r="G54">
        <v>155183900</v>
      </c>
      <c r="H54" t="str">
        <f t="shared" si="2"/>
        <v>No</v>
      </c>
      <c r="I54" s="3">
        <f t="shared" si="1"/>
        <v>-3.054814559848551E-2</v>
      </c>
    </row>
    <row r="55" spans="1:9" x14ac:dyDescent="0.3">
      <c r="A55" s="1">
        <v>41944</v>
      </c>
      <c r="B55">
        <v>112.39</v>
      </c>
      <c r="C55">
        <v>115.96</v>
      </c>
      <c r="D55">
        <v>109.67</v>
      </c>
      <c r="E55">
        <v>112.11</v>
      </c>
      <c r="F55">
        <v>112.11</v>
      </c>
      <c r="G55">
        <v>147594200</v>
      </c>
      <c r="H55" t="str">
        <f t="shared" si="2"/>
        <v>No</v>
      </c>
      <c r="I55" s="3">
        <f t="shared" si="1"/>
        <v>-4.8819456772589698E-3</v>
      </c>
    </row>
    <row r="56" spans="1:9" x14ac:dyDescent="0.3">
      <c r="A56" s="1">
        <v>41974</v>
      </c>
      <c r="B56">
        <v>113.8</v>
      </c>
      <c r="C56">
        <v>118.99</v>
      </c>
      <c r="D56">
        <v>112.41</v>
      </c>
      <c r="E56">
        <v>113.58</v>
      </c>
      <c r="F56">
        <v>113.58</v>
      </c>
      <c r="G56">
        <v>153722200</v>
      </c>
      <c r="H56" t="str">
        <f t="shared" si="2"/>
        <v>No</v>
      </c>
      <c r="I56" s="3">
        <f t="shared" si="1"/>
        <v>1.311212202301304E-2</v>
      </c>
    </row>
    <row r="57" spans="1:9" x14ac:dyDescent="0.3">
      <c r="A57" s="1">
        <v>42005</v>
      </c>
      <c r="B57">
        <v>112.49</v>
      </c>
      <c r="C57">
        <v>125.58</v>
      </c>
      <c r="D57">
        <v>112.32</v>
      </c>
      <c r="E57">
        <v>123.45</v>
      </c>
      <c r="F57">
        <v>123.45</v>
      </c>
      <c r="G57">
        <v>198034100</v>
      </c>
      <c r="H57" t="str">
        <f t="shared" si="2"/>
        <v>No</v>
      </c>
      <c r="I57" s="3">
        <f t="shared" si="1"/>
        <v>8.6899101954569513E-2</v>
      </c>
    </row>
    <row r="58" spans="1:9" x14ac:dyDescent="0.3">
      <c r="A58" s="1">
        <v>42036</v>
      </c>
      <c r="B58">
        <v>121.84</v>
      </c>
      <c r="C58">
        <v>123.16</v>
      </c>
      <c r="D58">
        <v>114.29</v>
      </c>
      <c r="E58">
        <v>116.16</v>
      </c>
      <c r="F58">
        <v>116.16</v>
      </c>
      <c r="G58">
        <v>125686200</v>
      </c>
      <c r="H58" t="str">
        <f t="shared" si="2"/>
        <v>No</v>
      </c>
      <c r="I58" s="3">
        <f t="shared" si="1"/>
        <v>-5.9052247873633057E-2</v>
      </c>
    </row>
    <row r="59" spans="1:9" x14ac:dyDescent="0.3">
      <c r="A59" s="1">
        <v>42064</v>
      </c>
      <c r="B59">
        <v>116.5</v>
      </c>
      <c r="C59">
        <v>116.64</v>
      </c>
      <c r="D59">
        <v>109.77</v>
      </c>
      <c r="E59">
        <v>113.66</v>
      </c>
      <c r="F59">
        <v>113.66</v>
      </c>
      <c r="G59">
        <v>133483100</v>
      </c>
      <c r="H59" t="str">
        <f t="shared" si="2"/>
        <v>No</v>
      </c>
      <c r="I59" s="3">
        <f t="shared" si="1"/>
        <v>-2.1522038567493129E-2</v>
      </c>
    </row>
    <row r="60" spans="1:9" x14ac:dyDescent="0.3">
      <c r="A60" s="1">
        <v>42095</v>
      </c>
      <c r="B60">
        <v>114.56</v>
      </c>
      <c r="C60">
        <v>117.47</v>
      </c>
      <c r="D60">
        <v>112.77</v>
      </c>
      <c r="E60">
        <v>113.47</v>
      </c>
      <c r="F60">
        <v>113.47</v>
      </c>
      <c r="G60">
        <v>106636600</v>
      </c>
      <c r="H60" t="str">
        <f t="shared" si="2"/>
        <v>No</v>
      </c>
      <c r="I60" s="3">
        <f t="shared" si="1"/>
        <v>-1.671652296322379E-3</v>
      </c>
    </row>
    <row r="61" spans="1:9" x14ac:dyDescent="0.3">
      <c r="A61" s="1">
        <v>42125</v>
      </c>
      <c r="B61">
        <v>112.42</v>
      </c>
      <c r="C61">
        <v>117.88</v>
      </c>
      <c r="D61">
        <v>112.28</v>
      </c>
      <c r="E61">
        <v>114.1</v>
      </c>
      <c r="F61">
        <v>114.1</v>
      </c>
      <c r="G61">
        <v>99097100</v>
      </c>
      <c r="H61" t="str">
        <f t="shared" si="2"/>
        <v>No</v>
      </c>
      <c r="I61" s="3">
        <f t="shared" si="1"/>
        <v>5.5521283158543877E-3</v>
      </c>
    </row>
    <row r="62" spans="1:9" x14ac:dyDescent="0.3">
      <c r="A62" s="1">
        <v>42156</v>
      </c>
      <c r="B62">
        <v>115.02</v>
      </c>
      <c r="C62">
        <v>115.61</v>
      </c>
      <c r="D62">
        <v>111.57</v>
      </c>
      <c r="E62">
        <v>112.37</v>
      </c>
      <c r="F62">
        <v>112.37</v>
      </c>
      <c r="G62">
        <v>110267600</v>
      </c>
      <c r="H62" t="str">
        <f t="shared" si="2"/>
        <v>No</v>
      </c>
      <c r="I62" s="3">
        <f t="shared" si="1"/>
        <v>-1.5162138475021791E-2</v>
      </c>
    </row>
    <row r="63" spans="1:9" x14ac:dyDescent="0.3">
      <c r="A63" s="1">
        <v>42186</v>
      </c>
      <c r="B63">
        <v>112.12</v>
      </c>
      <c r="C63">
        <v>112.58</v>
      </c>
      <c r="D63">
        <v>103.43</v>
      </c>
      <c r="E63">
        <v>104.93</v>
      </c>
      <c r="F63">
        <v>104.93</v>
      </c>
      <c r="G63">
        <v>157498100</v>
      </c>
      <c r="H63" t="str">
        <f t="shared" si="2"/>
        <v>No</v>
      </c>
      <c r="I63" s="3">
        <f t="shared" si="1"/>
        <v>-6.6209842484648895E-2</v>
      </c>
    </row>
    <row r="64" spans="1:9" x14ac:dyDescent="0.3">
      <c r="A64" s="1">
        <v>42217</v>
      </c>
      <c r="B64">
        <v>104.59</v>
      </c>
      <c r="C64">
        <v>112.12</v>
      </c>
      <c r="D64">
        <v>103.78</v>
      </c>
      <c r="E64">
        <v>108.82</v>
      </c>
      <c r="F64">
        <v>108.82</v>
      </c>
      <c r="G64">
        <v>151171700</v>
      </c>
      <c r="H64" t="str">
        <f t="shared" si="2"/>
        <v>No</v>
      </c>
      <c r="I64" s="3">
        <f t="shared" si="1"/>
        <v>3.7072333936910118E-2</v>
      </c>
    </row>
    <row r="65" spans="1:9" x14ac:dyDescent="0.3">
      <c r="A65" s="1">
        <v>42248</v>
      </c>
      <c r="B65">
        <v>109.63</v>
      </c>
      <c r="C65">
        <v>110.82</v>
      </c>
      <c r="D65">
        <v>105.27</v>
      </c>
      <c r="E65">
        <v>106.86</v>
      </c>
      <c r="F65">
        <v>106.86</v>
      </c>
      <c r="G65">
        <v>113791100</v>
      </c>
      <c r="H65" t="str">
        <f t="shared" si="2"/>
        <v>No</v>
      </c>
      <c r="I65" s="3">
        <f t="shared" si="1"/>
        <v>-1.8011394964160932E-2</v>
      </c>
    </row>
    <row r="66" spans="1:9" x14ac:dyDescent="0.3">
      <c r="A66" s="1">
        <v>42278</v>
      </c>
      <c r="B66">
        <v>106.98</v>
      </c>
      <c r="C66">
        <v>113.99</v>
      </c>
      <c r="D66">
        <v>106.63</v>
      </c>
      <c r="E66">
        <v>109.3</v>
      </c>
      <c r="F66">
        <v>109.3</v>
      </c>
      <c r="G66">
        <v>131532500</v>
      </c>
      <c r="H66" t="str">
        <f t="shared" ref="H66:H97" si="3">IF(ISNUMBER(SEARCH("Dividend",B66)),"Yes","No")</f>
        <v>No</v>
      </c>
      <c r="I66" s="3">
        <f t="shared" si="1"/>
        <v>2.2833614074490027E-2</v>
      </c>
    </row>
    <row r="67" spans="1:9" x14ac:dyDescent="0.3">
      <c r="A67" s="1">
        <v>42309</v>
      </c>
      <c r="B67">
        <v>108.64</v>
      </c>
      <c r="C67">
        <v>108.84</v>
      </c>
      <c r="D67">
        <v>100.99</v>
      </c>
      <c r="E67">
        <v>101.92</v>
      </c>
      <c r="F67">
        <v>101.92</v>
      </c>
      <c r="G67">
        <v>106869000</v>
      </c>
      <c r="H67" t="str">
        <f t="shared" si="3"/>
        <v>No</v>
      </c>
      <c r="I67" s="3">
        <f t="shared" si="1"/>
        <v>-6.7520585544373235E-2</v>
      </c>
    </row>
    <row r="68" spans="1:9" x14ac:dyDescent="0.3">
      <c r="A68" s="1">
        <v>42339</v>
      </c>
      <c r="B68">
        <v>102.3</v>
      </c>
      <c r="C68">
        <v>104.21</v>
      </c>
      <c r="D68">
        <v>100.23</v>
      </c>
      <c r="E68">
        <v>101.46</v>
      </c>
      <c r="F68">
        <v>101.46</v>
      </c>
      <c r="G68">
        <v>124503700</v>
      </c>
      <c r="H68" t="str">
        <f t="shared" si="3"/>
        <v>No</v>
      </c>
      <c r="I68" s="3">
        <f t="shared" ref="I68:I131" si="4">(F68/F67)-1</f>
        <v>-4.5133437990582115E-3</v>
      </c>
    </row>
    <row r="69" spans="1:9" x14ac:dyDescent="0.3">
      <c r="A69" s="1">
        <v>42370</v>
      </c>
      <c r="B69">
        <v>103.13</v>
      </c>
      <c r="C69">
        <v>107.93</v>
      </c>
      <c r="D69">
        <v>102.49</v>
      </c>
      <c r="E69">
        <v>106.95</v>
      </c>
      <c r="F69">
        <v>106.95</v>
      </c>
      <c r="G69">
        <v>139712800</v>
      </c>
      <c r="H69" t="str">
        <f t="shared" si="3"/>
        <v>No</v>
      </c>
      <c r="I69" s="3">
        <f t="shared" si="4"/>
        <v>5.410999408633943E-2</v>
      </c>
    </row>
    <row r="70" spans="1:9" x14ac:dyDescent="0.3">
      <c r="A70" s="1">
        <v>42401</v>
      </c>
      <c r="B70">
        <v>107.54</v>
      </c>
      <c r="C70">
        <v>120.84</v>
      </c>
      <c r="D70">
        <v>107.35</v>
      </c>
      <c r="E70">
        <v>118.64</v>
      </c>
      <c r="F70">
        <v>118.64</v>
      </c>
      <c r="G70">
        <v>314968700</v>
      </c>
      <c r="H70" t="str">
        <f t="shared" si="3"/>
        <v>No</v>
      </c>
      <c r="I70" s="3">
        <f t="shared" si="4"/>
        <v>0.10930341280972411</v>
      </c>
    </row>
    <row r="71" spans="1:9" x14ac:dyDescent="0.3">
      <c r="A71" s="1">
        <v>42430</v>
      </c>
      <c r="B71">
        <v>118.74</v>
      </c>
      <c r="C71">
        <v>122.37</v>
      </c>
      <c r="D71">
        <v>116.16</v>
      </c>
      <c r="E71">
        <v>117.64</v>
      </c>
      <c r="F71">
        <v>117.64</v>
      </c>
      <c r="G71">
        <v>259670200</v>
      </c>
      <c r="H71" t="str">
        <f t="shared" si="3"/>
        <v>No</v>
      </c>
      <c r="I71" s="3">
        <f t="shared" si="4"/>
        <v>-8.4288604180714488E-3</v>
      </c>
    </row>
    <row r="72" spans="1:9" x14ac:dyDescent="0.3">
      <c r="A72" s="1">
        <v>42461</v>
      </c>
      <c r="B72">
        <v>116.08</v>
      </c>
      <c r="C72">
        <v>123.93</v>
      </c>
      <c r="D72">
        <v>115</v>
      </c>
      <c r="E72">
        <v>123.65</v>
      </c>
      <c r="F72">
        <v>123.65</v>
      </c>
      <c r="G72">
        <v>222989100</v>
      </c>
      <c r="H72" t="str">
        <f t="shared" si="3"/>
        <v>No</v>
      </c>
      <c r="I72" s="3">
        <f t="shared" si="4"/>
        <v>5.1088065283917183E-2</v>
      </c>
    </row>
    <row r="73" spans="1:9" x14ac:dyDescent="0.3">
      <c r="A73" s="1">
        <v>42491</v>
      </c>
      <c r="B73">
        <v>123.78</v>
      </c>
      <c r="C73">
        <v>123.96</v>
      </c>
      <c r="D73">
        <v>115.29</v>
      </c>
      <c r="E73">
        <v>116.06</v>
      </c>
      <c r="F73">
        <v>116.06</v>
      </c>
      <c r="G73">
        <v>201083100</v>
      </c>
      <c r="H73" t="str">
        <f t="shared" si="3"/>
        <v>No</v>
      </c>
      <c r="I73" s="3">
        <f t="shared" si="4"/>
        <v>-6.13829357056207E-2</v>
      </c>
    </row>
    <row r="74" spans="1:9" x14ac:dyDescent="0.3">
      <c r="A74" s="1">
        <v>42522</v>
      </c>
      <c r="B74">
        <v>115.97</v>
      </c>
      <c r="C74">
        <v>127.05</v>
      </c>
      <c r="D74">
        <v>115.2</v>
      </c>
      <c r="E74">
        <v>126.47</v>
      </c>
      <c r="F74">
        <v>126.47</v>
      </c>
      <c r="G74">
        <v>307601400</v>
      </c>
      <c r="H74" t="str">
        <f t="shared" si="3"/>
        <v>No</v>
      </c>
      <c r="I74" s="3">
        <f t="shared" si="4"/>
        <v>8.9694985352403833E-2</v>
      </c>
    </row>
    <row r="75" spans="1:9" x14ac:dyDescent="0.3">
      <c r="A75" s="1">
        <v>42552</v>
      </c>
      <c r="B75">
        <v>127.66</v>
      </c>
      <c r="C75">
        <v>131.15</v>
      </c>
      <c r="D75">
        <v>125.11</v>
      </c>
      <c r="E75">
        <v>128.97999999999999</v>
      </c>
      <c r="F75">
        <v>128.97999999999999</v>
      </c>
      <c r="G75">
        <v>259546000</v>
      </c>
      <c r="H75" t="str">
        <f t="shared" si="3"/>
        <v>No</v>
      </c>
      <c r="I75" s="3">
        <f t="shared" si="4"/>
        <v>1.9846603937692553E-2</v>
      </c>
    </row>
    <row r="76" spans="1:9" x14ac:dyDescent="0.3">
      <c r="A76" s="1">
        <v>42583</v>
      </c>
      <c r="B76">
        <v>128.57</v>
      </c>
      <c r="C76">
        <v>130.55000000000001</v>
      </c>
      <c r="D76">
        <v>124.64</v>
      </c>
      <c r="E76">
        <v>124.78</v>
      </c>
      <c r="F76">
        <v>124.78</v>
      </c>
      <c r="G76">
        <v>215783900</v>
      </c>
      <c r="H76" t="str">
        <f t="shared" si="3"/>
        <v>No</v>
      </c>
      <c r="I76" s="3">
        <f t="shared" si="4"/>
        <v>-3.2563188091176865E-2</v>
      </c>
    </row>
    <row r="77" spans="1:9" x14ac:dyDescent="0.3">
      <c r="A77" s="1">
        <v>42614</v>
      </c>
      <c r="B77">
        <v>124.67</v>
      </c>
      <c r="C77">
        <v>129.08000000000001</v>
      </c>
      <c r="D77">
        <v>124.55</v>
      </c>
      <c r="E77">
        <v>125.64</v>
      </c>
      <c r="F77">
        <v>125.64</v>
      </c>
      <c r="G77">
        <v>213473800</v>
      </c>
      <c r="H77" t="str">
        <f t="shared" si="3"/>
        <v>No</v>
      </c>
      <c r="I77" s="3">
        <f t="shared" si="4"/>
        <v>6.8921301490623144E-3</v>
      </c>
    </row>
    <row r="78" spans="1:9" x14ac:dyDescent="0.3">
      <c r="A78" s="1">
        <v>42644</v>
      </c>
      <c r="B78">
        <v>125.32</v>
      </c>
      <c r="C78">
        <v>125.46</v>
      </c>
      <c r="D78">
        <v>118.42</v>
      </c>
      <c r="E78">
        <v>121.94</v>
      </c>
      <c r="F78">
        <v>121.94</v>
      </c>
      <c r="G78">
        <v>181298100</v>
      </c>
      <c r="H78" t="str">
        <f t="shared" si="3"/>
        <v>No</v>
      </c>
      <c r="I78" s="3">
        <f t="shared" si="4"/>
        <v>-2.9449219993632592E-2</v>
      </c>
    </row>
    <row r="79" spans="1:9" x14ac:dyDescent="0.3">
      <c r="A79" s="1">
        <v>42675</v>
      </c>
      <c r="B79">
        <v>122.8</v>
      </c>
      <c r="C79">
        <v>124.76</v>
      </c>
      <c r="D79">
        <v>111.5</v>
      </c>
      <c r="E79">
        <v>111.75</v>
      </c>
      <c r="F79">
        <v>111.75</v>
      </c>
      <c r="G79">
        <v>247890600</v>
      </c>
      <c r="H79" t="str">
        <f t="shared" si="3"/>
        <v>No</v>
      </c>
      <c r="I79" s="3">
        <f t="shared" si="4"/>
        <v>-8.3565688043300002E-2</v>
      </c>
    </row>
    <row r="80" spans="1:9" x14ac:dyDescent="0.3">
      <c r="A80" s="1">
        <v>42705</v>
      </c>
      <c r="B80">
        <v>111.11</v>
      </c>
      <c r="C80">
        <v>112.5</v>
      </c>
      <c r="D80">
        <v>107</v>
      </c>
      <c r="E80">
        <v>109.61</v>
      </c>
      <c r="F80">
        <v>109.61</v>
      </c>
      <c r="G80">
        <v>159862800</v>
      </c>
      <c r="H80" t="str">
        <f t="shared" si="3"/>
        <v>No</v>
      </c>
      <c r="I80" s="3">
        <f t="shared" si="4"/>
        <v>-1.9149888143176752E-2</v>
      </c>
    </row>
    <row r="81" spans="1:9" x14ac:dyDescent="0.3">
      <c r="A81" s="1">
        <v>42736</v>
      </c>
      <c r="B81">
        <v>109.62</v>
      </c>
      <c r="C81">
        <v>116.17</v>
      </c>
      <c r="D81">
        <v>109.37</v>
      </c>
      <c r="E81">
        <v>115.55</v>
      </c>
      <c r="F81">
        <v>115.55</v>
      </c>
      <c r="G81">
        <v>150545100</v>
      </c>
      <c r="H81" t="str">
        <f t="shared" si="3"/>
        <v>No</v>
      </c>
      <c r="I81" s="3">
        <f t="shared" si="4"/>
        <v>5.4192135754036919E-2</v>
      </c>
    </row>
    <row r="82" spans="1:9" x14ac:dyDescent="0.3">
      <c r="A82" s="1">
        <v>42767</v>
      </c>
      <c r="B82">
        <v>114.66</v>
      </c>
      <c r="C82">
        <v>120.4</v>
      </c>
      <c r="D82">
        <v>114.14</v>
      </c>
      <c r="E82">
        <v>119.23</v>
      </c>
      <c r="F82">
        <v>119.23</v>
      </c>
      <c r="G82">
        <v>150265000</v>
      </c>
      <c r="H82" t="str">
        <f t="shared" si="3"/>
        <v>No</v>
      </c>
      <c r="I82" s="3">
        <f t="shared" si="4"/>
        <v>3.1847684984855018E-2</v>
      </c>
    </row>
    <row r="83" spans="1:9" x14ac:dyDescent="0.3">
      <c r="A83" s="1">
        <v>42795</v>
      </c>
      <c r="B83">
        <v>117.98</v>
      </c>
      <c r="C83">
        <v>120.08</v>
      </c>
      <c r="D83">
        <v>114.02</v>
      </c>
      <c r="E83">
        <v>118.72</v>
      </c>
      <c r="F83">
        <v>118.72</v>
      </c>
      <c r="G83">
        <v>172556100</v>
      </c>
      <c r="H83" t="str">
        <f t="shared" si="3"/>
        <v>No</v>
      </c>
      <c r="I83" s="3">
        <f t="shared" si="4"/>
        <v>-4.2774469512707469E-3</v>
      </c>
    </row>
    <row r="84" spans="1:9" x14ac:dyDescent="0.3">
      <c r="A84" s="1">
        <v>42826</v>
      </c>
      <c r="B84">
        <v>118.69</v>
      </c>
      <c r="C84">
        <v>123.07</v>
      </c>
      <c r="D84">
        <v>118.4</v>
      </c>
      <c r="E84">
        <v>120.77</v>
      </c>
      <c r="F84">
        <v>120.77</v>
      </c>
      <c r="G84">
        <v>176157400</v>
      </c>
      <c r="H84" t="str">
        <f t="shared" si="3"/>
        <v>No</v>
      </c>
      <c r="I84" s="3">
        <f t="shared" si="4"/>
        <v>1.7267520215633381E-2</v>
      </c>
    </row>
    <row r="85" spans="1:9" x14ac:dyDescent="0.3">
      <c r="A85" s="1">
        <v>42856</v>
      </c>
      <c r="B85">
        <v>120.21</v>
      </c>
      <c r="C85">
        <v>121.23</v>
      </c>
      <c r="D85">
        <v>115.56</v>
      </c>
      <c r="E85">
        <v>120.62</v>
      </c>
      <c r="F85">
        <v>120.62</v>
      </c>
      <c r="G85">
        <v>160072400</v>
      </c>
      <c r="H85" t="str">
        <f t="shared" si="3"/>
        <v>No</v>
      </c>
      <c r="I85" s="3">
        <f t="shared" si="4"/>
        <v>-1.2420303055393767E-3</v>
      </c>
    </row>
    <row r="86" spans="1:9" x14ac:dyDescent="0.3">
      <c r="A86" s="1">
        <v>42887</v>
      </c>
      <c r="B86">
        <v>120.17</v>
      </c>
      <c r="C86">
        <v>123.31</v>
      </c>
      <c r="D86">
        <v>117.91</v>
      </c>
      <c r="E86">
        <v>118.02</v>
      </c>
      <c r="F86">
        <v>118.02</v>
      </c>
      <c r="G86">
        <v>160832400</v>
      </c>
      <c r="H86" t="str">
        <f t="shared" si="3"/>
        <v>No</v>
      </c>
      <c r="I86" s="3">
        <f t="shared" si="4"/>
        <v>-2.155529762891728E-2</v>
      </c>
    </row>
    <row r="87" spans="1:9" x14ac:dyDescent="0.3">
      <c r="A87" s="1">
        <v>42917</v>
      </c>
      <c r="B87">
        <v>116.54</v>
      </c>
      <c r="C87">
        <v>120.86</v>
      </c>
      <c r="D87">
        <v>114.8</v>
      </c>
      <c r="E87">
        <v>120.75</v>
      </c>
      <c r="F87">
        <v>120.75</v>
      </c>
      <c r="G87">
        <v>128516200</v>
      </c>
      <c r="H87" t="str">
        <f t="shared" si="3"/>
        <v>No</v>
      </c>
      <c r="I87" s="3">
        <f t="shared" si="4"/>
        <v>2.313167259786475E-2</v>
      </c>
    </row>
    <row r="88" spans="1:9" x14ac:dyDescent="0.3">
      <c r="A88" s="1">
        <v>42948</v>
      </c>
      <c r="B88">
        <v>120.44</v>
      </c>
      <c r="C88">
        <v>125.87</v>
      </c>
      <c r="D88">
        <v>118.97</v>
      </c>
      <c r="E88">
        <v>125.82</v>
      </c>
      <c r="F88">
        <v>125.82</v>
      </c>
      <c r="G88">
        <v>179580900</v>
      </c>
      <c r="H88" t="str">
        <f t="shared" si="3"/>
        <v>No</v>
      </c>
      <c r="I88" s="3">
        <f t="shared" si="4"/>
        <v>4.1987577639751583E-2</v>
      </c>
    </row>
    <row r="89" spans="1:9" x14ac:dyDescent="0.3">
      <c r="A89" s="1">
        <v>42979</v>
      </c>
      <c r="B89">
        <v>126.01</v>
      </c>
      <c r="C89">
        <v>128.32</v>
      </c>
      <c r="D89">
        <v>121.55</v>
      </c>
      <c r="E89">
        <v>121.58</v>
      </c>
      <c r="F89">
        <v>121.58</v>
      </c>
      <c r="G89">
        <v>174234300</v>
      </c>
      <c r="H89" t="str">
        <f t="shared" si="3"/>
        <v>No</v>
      </c>
      <c r="I89" s="3">
        <f t="shared" si="4"/>
        <v>-3.3698934986488571E-2</v>
      </c>
    </row>
    <row r="90" spans="1:9" x14ac:dyDescent="0.3">
      <c r="A90" s="1">
        <v>43009</v>
      </c>
      <c r="B90">
        <v>121.17</v>
      </c>
      <c r="C90">
        <v>123.97</v>
      </c>
      <c r="D90">
        <v>119.78</v>
      </c>
      <c r="E90">
        <v>120.67</v>
      </c>
      <c r="F90">
        <v>120.67</v>
      </c>
      <c r="G90">
        <v>137821900</v>
      </c>
      <c r="H90" t="str">
        <f t="shared" si="3"/>
        <v>No</v>
      </c>
      <c r="I90" s="3">
        <f t="shared" si="4"/>
        <v>-7.4847836815264968E-3</v>
      </c>
    </row>
    <row r="91" spans="1:9" x14ac:dyDescent="0.3">
      <c r="A91" s="1">
        <v>43040</v>
      </c>
      <c r="B91">
        <v>120.98</v>
      </c>
      <c r="C91">
        <v>123.33</v>
      </c>
      <c r="D91">
        <v>120.18</v>
      </c>
      <c r="E91">
        <v>121.1</v>
      </c>
      <c r="F91">
        <v>121.1</v>
      </c>
      <c r="G91">
        <v>121999200</v>
      </c>
      <c r="H91" t="str">
        <f t="shared" si="3"/>
        <v>No</v>
      </c>
      <c r="I91" s="3">
        <f t="shared" si="4"/>
        <v>3.5634374741029262E-3</v>
      </c>
    </row>
    <row r="92" spans="1:9" x14ac:dyDescent="0.3">
      <c r="A92" s="1">
        <v>43070</v>
      </c>
      <c r="B92">
        <v>120.94</v>
      </c>
      <c r="C92">
        <v>124.09</v>
      </c>
      <c r="D92">
        <v>117.4</v>
      </c>
      <c r="E92">
        <v>123.65</v>
      </c>
      <c r="F92">
        <v>123.65</v>
      </c>
      <c r="G92">
        <v>145856700</v>
      </c>
      <c r="H92" t="str">
        <f t="shared" si="3"/>
        <v>No</v>
      </c>
      <c r="I92" s="3">
        <f t="shared" si="4"/>
        <v>2.1056977704376534E-2</v>
      </c>
    </row>
    <row r="93" spans="1:9" x14ac:dyDescent="0.3">
      <c r="A93" s="1">
        <v>43101</v>
      </c>
      <c r="B93">
        <v>124.66</v>
      </c>
      <c r="C93">
        <v>129.51</v>
      </c>
      <c r="D93">
        <v>124.1</v>
      </c>
      <c r="E93">
        <v>127.65</v>
      </c>
      <c r="F93">
        <v>127.65</v>
      </c>
      <c r="G93">
        <v>184868100</v>
      </c>
      <c r="H93" t="str">
        <f t="shared" si="3"/>
        <v>No</v>
      </c>
      <c r="I93" s="3">
        <f t="shared" si="4"/>
        <v>3.2349373230893708E-2</v>
      </c>
    </row>
    <row r="94" spans="1:9" x14ac:dyDescent="0.3">
      <c r="A94" s="1">
        <v>43132</v>
      </c>
      <c r="B94">
        <v>127.18</v>
      </c>
      <c r="C94">
        <v>128.69999999999999</v>
      </c>
      <c r="D94">
        <v>124.39</v>
      </c>
      <c r="E94">
        <v>125</v>
      </c>
      <c r="F94">
        <v>125</v>
      </c>
      <c r="G94">
        <v>176366400</v>
      </c>
      <c r="H94" t="str">
        <f t="shared" si="3"/>
        <v>No</v>
      </c>
      <c r="I94" s="3">
        <f t="shared" si="4"/>
        <v>-2.0759890325107722E-2</v>
      </c>
    </row>
    <row r="95" spans="1:9" x14ac:dyDescent="0.3">
      <c r="A95" s="1">
        <v>43160</v>
      </c>
      <c r="B95">
        <v>124.15</v>
      </c>
      <c r="C95">
        <v>128.58000000000001</v>
      </c>
      <c r="D95">
        <v>123.58</v>
      </c>
      <c r="E95">
        <v>125.79</v>
      </c>
      <c r="F95">
        <v>125.79</v>
      </c>
      <c r="G95">
        <v>143350600</v>
      </c>
      <c r="H95" t="str">
        <f t="shared" si="3"/>
        <v>No</v>
      </c>
      <c r="I95" s="3">
        <f t="shared" si="4"/>
        <v>6.3200000000001033E-3</v>
      </c>
    </row>
    <row r="96" spans="1:9" x14ac:dyDescent="0.3">
      <c r="A96" s="1">
        <v>43191</v>
      </c>
      <c r="B96">
        <v>126.65</v>
      </c>
      <c r="C96">
        <v>129.47</v>
      </c>
      <c r="D96">
        <v>124.19</v>
      </c>
      <c r="E96">
        <v>124.59</v>
      </c>
      <c r="F96">
        <v>124.59</v>
      </c>
      <c r="G96">
        <v>148538100</v>
      </c>
      <c r="H96" t="str">
        <f t="shared" si="3"/>
        <v>No</v>
      </c>
      <c r="I96" s="3">
        <f t="shared" si="4"/>
        <v>-9.5397090388743555E-3</v>
      </c>
    </row>
    <row r="97" spans="1:9" x14ac:dyDescent="0.3">
      <c r="A97" s="1">
        <v>43221</v>
      </c>
      <c r="B97">
        <v>123.9</v>
      </c>
      <c r="C97">
        <v>125.59</v>
      </c>
      <c r="D97">
        <v>121.97</v>
      </c>
      <c r="E97">
        <v>123.1</v>
      </c>
      <c r="F97">
        <v>123.1</v>
      </c>
      <c r="G97">
        <v>136939000</v>
      </c>
      <c r="H97" t="str">
        <f t="shared" si="3"/>
        <v>No</v>
      </c>
      <c r="I97" s="3">
        <f t="shared" si="4"/>
        <v>-1.1959226262139855E-2</v>
      </c>
    </row>
    <row r="98" spans="1:9" x14ac:dyDescent="0.3">
      <c r="A98" s="1">
        <v>43252</v>
      </c>
      <c r="B98">
        <v>122.58</v>
      </c>
      <c r="C98">
        <v>123.86</v>
      </c>
      <c r="D98">
        <v>118.01</v>
      </c>
      <c r="E98">
        <v>118.65</v>
      </c>
      <c r="F98">
        <v>118.65</v>
      </c>
      <c r="G98">
        <v>133529400</v>
      </c>
      <c r="H98" t="str">
        <f t="shared" ref="H98:H129" si="5">IF(ISNUMBER(SEARCH("Dividend",B98)),"Yes","No")</f>
        <v>No</v>
      </c>
      <c r="I98" s="3">
        <f t="shared" si="4"/>
        <v>-3.6149471974004754E-2</v>
      </c>
    </row>
    <row r="99" spans="1:9" x14ac:dyDescent="0.3">
      <c r="A99" s="1">
        <v>43282</v>
      </c>
      <c r="B99">
        <v>118.18</v>
      </c>
      <c r="C99">
        <v>119.73</v>
      </c>
      <c r="D99">
        <v>115.12</v>
      </c>
      <c r="E99">
        <v>115.99</v>
      </c>
      <c r="F99">
        <v>115.99</v>
      </c>
      <c r="G99">
        <v>130595500</v>
      </c>
      <c r="H99" t="str">
        <f t="shared" si="5"/>
        <v>No</v>
      </c>
      <c r="I99" s="3">
        <f t="shared" si="4"/>
        <v>-2.2418879056047336E-2</v>
      </c>
    </row>
    <row r="100" spans="1:9" x14ac:dyDescent="0.3">
      <c r="A100" s="1">
        <v>43313</v>
      </c>
      <c r="B100">
        <v>115.63</v>
      </c>
      <c r="C100">
        <v>115.7</v>
      </c>
      <c r="D100">
        <v>111.06</v>
      </c>
      <c r="E100">
        <v>113.51</v>
      </c>
      <c r="F100">
        <v>113.51</v>
      </c>
      <c r="G100">
        <v>148356600</v>
      </c>
      <c r="H100" t="str">
        <f t="shared" si="5"/>
        <v>No</v>
      </c>
      <c r="I100" s="3">
        <f t="shared" si="4"/>
        <v>-2.1381153547719522E-2</v>
      </c>
    </row>
    <row r="101" spans="1:9" x14ac:dyDescent="0.3">
      <c r="A101" s="1">
        <v>43344</v>
      </c>
      <c r="B101">
        <v>112.75</v>
      </c>
      <c r="C101">
        <v>114.78</v>
      </c>
      <c r="D101">
        <v>111.85</v>
      </c>
      <c r="E101">
        <v>112.76</v>
      </c>
      <c r="F101">
        <v>112.76</v>
      </c>
      <c r="G101">
        <v>97355900</v>
      </c>
      <c r="H101" t="str">
        <f t="shared" si="5"/>
        <v>No</v>
      </c>
      <c r="I101" s="3">
        <f t="shared" si="4"/>
        <v>-6.6073473702757957E-3</v>
      </c>
    </row>
    <row r="102" spans="1:9" x14ac:dyDescent="0.3">
      <c r="A102" s="1">
        <v>43374</v>
      </c>
      <c r="B102">
        <v>112.4</v>
      </c>
      <c r="C102">
        <v>117.65</v>
      </c>
      <c r="D102">
        <v>111.9</v>
      </c>
      <c r="E102">
        <v>115.15</v>
      </c>
      <c r="F102">
        <v>115.15</v>
      </c>
      <c r="G102">
        <v>228476300</v>
      </c>
      <c r="H102" t="str">
        <f t="shared" si="5"/>
        <v>No</v>
      </c>
      <c r="I102" s="3">
        <f t="shared" si="4"/>
        <v>2.1195459382759907E-2</v>
      </c>
    </row>
    <row r="103" spans="1:9" x14ac:dyDescent="0.3">
      <c r="A103" s="1">
        <v>43405</v>
      </c>
      <c r="B103">
        <v>116.33</v>
      </c>
      <c r="C103">
        <v>117.07</v>
      </c>
      <c r="D103">
        <v>113.42</v>
      </c>
      <c r="E103">
        <v>115.54</v>
      </c>
      <c r="F103">
        <v>115.54</v>
      </c>
      <c r="G103">
        <v>186729200</v>
      </c>
      <c r="H103" t="str">
        <f t="shared" si="5"/>
        <v>No</v>
      </c>
      <c r="I103" s="3">
        <f t="shared" si="4"/>
        <v>3.3868866695614397E-3</v>
      </c>
    </row>
    <row r="104" spans="1:9" x14ac:dyDescent="0.3">
      <c r="A104" s="1">
        <v>43435</v>
      </c>
      <c r="B104">
        <v>116.6</v>
      </c>
      <c r="C104">
        <v>121.26</v>
      </c>
      <c r="D104">
        <v>116.3</v>
      </c>
      <c r="E104">
        <v>121.25</v>
      </c>
      <c r="F104">
        <v>121.25</v>
      </c>
      <c r="G104">
        <v>178898300</v>
      </c>
      <c r="H104" t="str">
        <f t="shared" si="5"/>
        <v>No</v>
      </c>
      <c r="I104" s="3">
        <f t="shared" si="4"/>
        <v>4.9420114246148561E-2</v>
      </c>
    </row>
    <row r="105" spans="1:9" x14ac:dyDescent="0.3">
      <c r="A105" s="1">
        <v>43466</v>
      </c>
      <c r="B105">
        <v>121.35</v>
      </c>
      <c r="C105">
        <v>125.23</v>
      </c>
      <c r="D105">
        <v>120.69</v>
      </c>
      <c r="E105">
        <v>124.75</v>
      </c>
      <c r="F105">
        <v>124.75</v>
      </c>
      <c r="G105">
        <v>195173300</v>
      </c>
      <c r="H105" t="str">
        <f t="shared" si="5"/>
        <v>No</v>
      </c>
      <c r="I105" s="3">
        <f t="shared" si="4"/>
        <v>2.8865979381443196E-2</v>
      </c>
    </row>
    <row r="106" spans="1:9" x14ac:dyDescent="0.3">
      <c r="A106" s="1">
        <v>43497</v>
      </c>
      <c r="B106">
        <v>124.89</v>
      </c>
      <c r="C106">
        <v>127.21</v>
      </c>
      <c r="D106">
        <v>123.19</v>
      </c>
      <c r="E106">
        <v>123.99</v>
      </c>
      <c r="F106">
        <v>123.99</v>
      </c>
      <c r="G106">
        <v>141982900</v>
      </c>
      <c r="H106" t="str">
        <f t="shared" si="5"/>
        <v>No</v>
      </c>
      <c r="I106" s="3">
        <f t="shared" si="4"/>
        <v>-6.0921843687374855E-3</v>
      </c>
    </row>
    <row r="107" spans="1:9" x14ac:dyDescent="0.3">
      <c r="A107" s="1">
        <v>43525</v>
      </c>
      <c r="B107">
        <v>123.48</v>
      </c>
      <c r="C107">
        <v>125.11</v>
      </c>
      <c r="D107">
        <v>121.03</v>
      </c>
      <c r="E107">
        <v>122.01</v>
      </c>
      <c r="F107">
        <v>122.01</v>
      </c>
      <c r="G107">
        <v>168879600</v>
      </c>
      <c r="H107" t="str">
        <f t="shared" si="5"/>
        <v>No</v>
      </c>
      <c r="I107" s="3">
        <f t="shared" si="4"/>
        <v>-1.5969029760464437E-2</v>
      </c>
    </row>
    <row r="108" spans="1:9" x14ac:dyDescent="0.3">
      <c r="A108" s="1">
        <v>43556</v>
      </c>
      <c r="B108">
        <v>122.4</v>
      </c>
      <c r="C108">
        <v>123.77</v>
      </c>
      <c r="D108">
        <v>119.55</v>
      </c>
      <c r="E108">
        <v>121.2</v>
      </c>
      <c r="F108">
        <v>121.2</v>
      </c>
      <c r="G108">
        <v>124262100</v>
      </c>
      <c r="H108" t="str">
        <f t="shared" si="5"/>
        <v>No</v>
      </c>
      <c r="I108" s="3">
        <f t="shared" si="4"/>
        <v>-6.6388000983526041E-3</v>
      </c>
    </row>
    <row r="109" spans="1:9" x14ac:dyDescent="0.3">
      <c r="A109" s="1">
        <v>43586</v>
      </c>
      <c r="B109">
        <v>121.03</v>
      </c>
      <c r="C109">
        <v>123.4</v>
      </c>
      <c r="D109">
        <v>119.54</v>
      </c>
      <c r="E109">
        <v>123.33</v>
      </c>
      <c r="F109">
        <v>123.33</v>
      </c>
      <c r="G109">
        <v>140574200</v>
      </c>
      <c r="H109" t="str">
        <f t="shared" si="5"/>
        <v>No</v>
      </c>
      <c r="I109" s="3">
        <f t="shared" si="4"/>
        <v>1.7574257425742479E-2</v>
      </c>
    </row>
    <row r="110" spans="1:9" x14ac:dyDescent="0.3">
      <c r="A110" s="1">
        <v>43617</v>
      </c>
      <c r="B110">
        <v>124.09</v>
      </c>
      <c r="C110">
        <v>135.55000000000001</v>
      </c>
      <c r="D110">
        <v>123.9</v>
      </c>
      <c r="E110">
        <v>133.19999999999999</v>
      </c>
      <c r="F110">
        <v>133.19999999999999</v>
      </c>
      <c r="G110">
        <v>205599200</v>
      </c>
      <c r="H110" t="str">
        <f t="shared" si="5"/>
        <v>No</v>
      </c>
      <c r="I110" s="3">
        <f t="shared" si="4"/>
        <v>8.0029189978107373E-2</v>
      </c>
    </row>
    <row r="111" spans="1:9" x14ac:dyDescent="0.3">
      <c r="A111" s="1">
        <v>43647</v>
      </c>
      <c r="B111">
        <v>131.56</v>
      </c>
      <c r="C111">
        <v>136.63</v>
      </c>
      <c r="D111">
        <v>130.55000000000001</v>
      </c>
      <c r="E111">
        <v>133.21</v>
      </c>
      <c r="F111">
        <v>133.21</v>
      </c>
      <c r="G111">
        <v>226367100</v>
      </c>
      <c r="H111" t="str">
        <f t="shared" si="5"/>
        <v>No</v>
      </c>
      <c r="I111" s="3">
        <f t="shared" si="4"/>
        <v>7.5075075075314857E-5</v>
      </c>
    </row>
    <row r="112" spans="1:9" x14ac:dyDescent="0.3">
      <c r="A112" s="1">
        <v>43678</v>
      </c>
      <c r="B112">
        <v>132.41999999999999</v>
      </c>
      <c r="C112">
        <v>145.68</v>
      </c>
      <c r="D112">
        <v>132.31</v>
      </c>
      <c r="E112">
        <v>143.75</v>
      </c>
      <c r="F112">
        <v>143.75</v>
      </c>
      <c r="G112">
        <v>322877500</v>
      </c>
      <c r="H112" t="str">
        <f t="shared" si="5"/>
        <v>No</v>
      </c>
      <c r="I112" s="3">
        <f t="shared" si="4"/>
        <v>7.9123188949778545E-2</v>
      </c>
    </row>
    <row r="113" spans="1:9" x14ac:dyDescent="0.3">
      <c r="A113" s="1">
        <v>43709</v>
      </c>
      <c r="B113">
        <v>144.96</v>
      </c>
      <c r="C113">
        <v>146.82</v>
      </c>
      <c r="D113">
        <v>138.03</v>
      </c>
      <c r="E113">
        <v>138.87</v>
      </c>
      <c r="F113">
        <v>138.87</v>
      </c>
      <c r="G113">
        <v>233678500</v>
      </c>
      <c r="H113" t="str">
        <f t="shared" si="5"/>
        <v>No</v>
      </c>
      <c r="I113" s="3">
        <f t="shared" si="4"/>
        <v>-3.3947826086956456E-2</v>
      </c>
    </row>
    <row r="114" spans="1:9" x14ac:dyDescent="0.3">
      <c r="A114" s="1">
        <v>43739</v>
      </c>
      <c r="B114">
        <v>138.07</v>
      </c>
      <c r="C114">
        <v>143.25</v>
      </c>
      <c r="D114">
        <v>137.80000000000001</v>
      </c>
      <c r="E114">
        <v>142.43</v>
      </c>
      <c r="F114">
        <v>142.43</v>
      </c>
      <c r="G114">
        <v>178417600</v>
      </c>
      <c r="H114" t="str">
        <f t="shared" si="5"/>
        <v>No</v>
      </c>
      <c r="I114" s="3">
        <f t="shared" si="4"/>
        <v>2.5635486426153875E-2</v>
      </c>
    </row>
    <row r="115" spans="1:9" x14ac:dyDescent="0.3">
      <c r="A115" s="1">
        <v>43770</v>
      </c>
      <c r="B115">
        <v>142.21</v>
      </c>
      <c r="C115">
        <v>142.9</v>
      </c>
      <c r="D115">
        <v>136.19</v>
      </c>
      <c r="E115">
        <v>137.86000000000001</v>
      </c>
      <c r="F115">
        <v>137.86000000000001</v>
      </c>
      <c r="G115">
        <v>139229300</v>
      </c>
      <c r="H115" t="str">
        <f t="shared" si="5"/>
        <v>No</v>
      </c>
      <c r="I115" s="3">
        <f t="shared" si="4"/>
        <v>-3.2085936951484872E-2</v>
      </c>
    </row>
    <row r="116" spans="1:9" x14ac:dyDescent="0.3">
      <c r="A116" s="1">
        <v>43800</v>
      </c>
      <c r="B116">
        <v>137.32</v>
      </c>
      <c r="C116">
        <v>143.6</v>
      </c>
      <c r="D116">
        <v>137.30000000000001</v>
      </c>
      <c r="E116">
        <v>142.9</v>
      </c>
      <c r="F116">
        <v>142.9</v>
      </c>
      <c r="G116">
        <v>121345200</v>
      </c>
      <c r="H116" t="str">
        <f t="shared" si="5"/>
        <v>No</v>
      </c>
      <c r="I116" s="3">
        <f t="shared" si="4"/>
        <v>3.6558827796315141E-2</v>
      </c>
    </row>
    <row r="117" spans="1:9" x14ac:dyDescent="0.3">
      <c r="A117" s="1">
        <v>43831</v>
      </c>
      <c r="B117">
        <v>143.86000000000001</v>
      </c>
      <c r="C117">
        <v>149.68</v>
      </c>
      <c r="D117">
        <v>143.4</v>
      </c>
      <c r="E117">
        <v>149.33000000000001</v>
      </c>
      <c r="F117">
        <v>149.33000000000001</v>
      </c>
      <c r="G117">
        <v>194652300</v>
      </c>
      <c r="H117" t="str">
        <f t="shared" si="5"/>
        <v>No</v>
      </c>
      <c r="I117" s="3">
        <f t="shared" si="4"/>
        <v>4.4996501049685111E-2</v>
      </c>
    </row>
    <row r="118" spans="1:9" x14ac:dyDescent="0.3">
      <c r="A118" s="1">
        <v>43862</v>
      </c>
      <c r="B118">
        <v>148.66</v>
      </c>
      <c r="C118">
        <v>158.53</v>
      </c>
      <c r="D118">
        <v>145.80000000000001</v>
      </c>
      <c r="E118">
        <v>148.38</v>
      </c>
      <c r="F118">
        <v>148.38</v>
      </c>
      <c r="G118">
        <v>254781400</v>
      </c>
      <c r="H118" t="str">
        <f t="shared" si="5"/>
        <v>No</v>
      </c>
      <c r="I118" s="3">
        <f t="shared" si="4"/>
        <v>-6.3617491461863684E-3</v>
      </c>
    </row>
    <row r="119" spans="1:9" x14ac:dyDescent="0.3">
      <c r="A119" s="1">
        <v>43891</v>
      </c>
      <c r="B119">
        <v>150</v>
      </c>
      <c r="C119">
        <v>159.37</v>
      </c>
      <c r="D119">
        <v>136.12</v>
      </c>
      <c r="E119">
        <v>148.05000000000001</v>
      </c>
      <c r="F119">
        <v>148.05000000000001</v>
      </c>
      <c r="G119">
        <v>457459900</v>
      </c>
      <c r="H119" t="str">
        <f t="shared" si="5"/>
        <v>No</v>
      </c>
      <c r="I119" s="3">
        <f t="shared" si="4"/>
        <v>-2.2240194096238008E-3</v>
      </c>
    </row>
    <row r="120" spans="1:9" x14ac:dyDescent="0.3">
      <c r="A120" s="1">
        <v>43922</v>
      </c>
      <c r="B120">
        <v>148.19999999999999</v>
      </c>
      <c r="C120">
        <v>164.42</v>
      </c>
      <c r="D120">
        <v>147.85</v>
      </c>
      <c r="E120">
        <v>158.80000000000001</v>
      </c>
      <c r="F120">
        <v>158.80000000000001</v>
      </c>
      <c r="G120">
        <v>260294400</v>
      </c>
      <c r="H120" t="str">
        <f t="shared" si="5"/>
        <v>No</v>
      </c>
      <c r="I120" s="3">
        <f t="shared" si="4"/>
        <v>7.2610604525498168E-2</v>
      </c>
    </row>
    <row r="121" spans="1:9" x14ac:dyDescent="0.3">
      <c r="A121" s="1">
        <v>43952</v>
      </c>
      <c r="B121">
        <v>158</v>
      </c>
      <c r="C121">
        <v>164.96</v>
      </c>
      <c r="D121">
        <v>157.80000000000001</v>
      </c>
      <c r="E121">
        <v>162.91</v>
      </c>
      <c r="F121">
        <v>162.91</v>
      </c>
      <c r="G121">
        <v>235361000</v>
      </c>
      <c r="H121" t="str">
        <f t="shared" si="5"/>
        <v>No</v>
      </c>
      <c r="I121" s="3">
        <f t="shared" si="4"/>
        <v>2.5881612090679962E-2</v>
      </c>
    </row>
    <row r="122" spans="1:9" x14ac:dyDescent="0.3">
      <c r="A122" s="1">
        <v>43983</v>
      </c>
      <c r="B122">
        <v>162.91999999999999</v>
      </c>
      <c r="C122">
        <v>167.99</v>
      </c>
      <c r="D122">
        <v>157.04</v>
      </c>
      <c r="E122">
        <v>167.37</v>
      </c>
      <c r="F122">
        <v>167.37</v>
      </c>
      <c r="G122">
        <v>222122700</v>
      </c>
      <c r="H122" t="str">
        <f t="shared" si="5"/>
        <v>No</v>
      </c>
      <c r="I122" s="3">
        <f t="shared" si="4"/>
        <v>2.7377079368976709E-2</v>
      </c>
    </row>
    <row r="123" spans="1:9" x14ac:dyDescent="0.3">
      <c r="A123" s="1">
        <v>44013</v>
      </c>
      <c r="B123">
        <v>167.05</v>
      </c>
      <c r="C123">
        <v>186.14</v>
      </c>
      <c r="D123">
        <v>165.34</v>
      </c>
      <c r="E123">
        <v>185.43</v>
      </c>
      <c r="F123">
        <v>185.43</v>
      </c>
      <c r="G123">
        <v>305156400</v>
      </c>
      <c r="H123" t="str">
        <f t="shared" si="5"/>
        <v>No</v>
      </c>
      <c r="I123" s="3">
        <f t="shared" si="4"/>
        <v>0.10790464240903397</v>
      </c>
    </row>
    <row r="124" spans="1:9" x14ac:dyDescent="0.3">
      <c r="A124" s="1">
        <v>44044</v>
      </c>
      <c r="B124">
        <v>185.05</v>
      </c>
      <c r="C124">
        <v>194.45</v>
      </c>
      <c r="D124">
        <v>179.04</v>
      </c>
      <c r="E124">
        <v>184.83</v>
      </c>
      <c r="F124">
        <v>184.83</v>
      </c>
      <c r="G124">
        <v>389593200</v>
      </c>
      <c r="H124" t="str">
        <f t="shared" si="5"/>
        <v>No</v>
      </c>
      <c r="I124" s="3">
        <f t="shared" si="4"/>
        <v>-3.2357223750202335E-3</v>
      </c>
    </row>
    <row r="125" spans="1:9" x14ac:dyDescent="0.3">
      <c r="A125" s="1">
        <v>44075</v>
      </c>
      <c r="B125">
        <v>186.99</v>
      </c>
      <c r="C125">
        <v>186.99</v>
      </c>
      <c r="D125">
        <v>173.77</v>
      </c>
      <c r="E125">
        <v>177.12</v>
      </c>
      <c r="F125">
        <v>177.12</v>
      </c>
      <c r="G125">
        <v>219862100</v>
      </c>
      <c r="H125" t="str">
        <f t="shared" si="5"/>
        <v>No</v>
      </c>
      <c r="I125" s="3">
        <f t="shared" si="4"/>
        <v>-4.171400746632048E-2</v>
      </c>
    </row>
    <row r="126" spans="1:9" x14ac:dyDescent="0.3">
      <c r="A126" s="1">
        <v>44105</v>
      </c>
      <c r="B126">
        <v>178.71</v>
      </c>
      <c r="C126">
        <v>181.31</v>
      </c>
      <c r="D126">
        <v>174.83</v>
      </c>
      <c r="E126">
        <v>176.2</v>
      </c>
      <c r="F126">
        <v>176.2</v>
      </c>
      <c r="G126">
        <v>172289000</v>
      </c>
      <c r="H126" t="str">
        <f t="shared" si="5"/>
        <v>No</v>
      </c>
      <c r="I126" s="3">
        <f t="shared" si="4"/>
        <v>-5.1942186088528297E-3</v>
      </c>
    </row>
    <row r="127" spans="1:9" x14ac:dyDescent="0.3">
      <c r="A127" s="1">
        <v>44136</v>
      </c>
      <c r="B127">
        <v>177.45</v>
      </c>
      <c r="C127">
        <v>183.53</v>
      </c>
      <c r="D127">
        <v>166.03</v>
      </c>
      <c r="E127">
        <v>166.67</v>
      </c>
      <c r="F127">
        <v>166.67</v>
      </c>
      <c r="G127">
        <v>222246500</v>
      </c>
      <c r="H127" t="str">
        <f t="shared" si="5"/>
        <v>No</v>
      </c>
      <c r="I127" s="3">
        <f t="shared" si="4"/>
        <v>-5.4086265607264483E-2</v>
      </c>
    </row>
    <row r="128" spans="1:9" x14ac:dyDescent="0.3">
      <c r="A128" s="1">
        <v>44166</v>
      </c>
      <c r="B128">
        <v>169.76</v>
      </c>
      <c r="C128">
        <v>178.4</v>
      </c>
      <c r="D128">
        <v>169.3</v>
      </c>
      <c r="E128">
        <v>178.36</v>
      </c>
      <c r="F128">
        <v>178.36</v>
      </c>
      <c r="G128">
        <v>177576400</v>
      </c>
      <c r="H128" t="str">
        <f t="shared" si="5"/>
        <v>No</v>
      </c>
      <c r="I128" s="3">
        <f t="shared" si="4"/>
        <v>7.013859722805571E-2</v>
      </c>
    </row>
    <row r="129" spans="1:9" x14ac:dyDescent="0.3">
      <c r="A129" s="1">
        <v>44197</v>
      </c>
      <c r="B129">
        <v>181.97</v>
      </c>
      <c r="C129">
        <v>183.21</v>
      </c>
      <c r="D129">
        <v>170.98</v>
      </c>
      <c r="E129">
        <v>172.61</v>
      </c>
      <c r="F129">
        <v>172.61</v>
      </c>
      <c r="G129">
        <v>210951400</v>
      </c>
      <c r="H129" t="str">
        <f t="shared" si="5"/>
        <v>No</v>
      </c>
      <c r="I129" s="3">
        <f t="shared" si="4"/>
        <v>-3.2238169993272003E-2</v>
      </c>
    </row>
    <row r="130" spans="1:9" x14ac:dyDescent="0.3">
      <c r="A130" s="1">
        <v>44228</v>
      </c>
      <c r="B130">
        <v>175.02</v>
      </c>
      <c r="C130">
        <v>175.26</v>
      </c>
      <c r="D130">
        <v>160.94999999999999</v>
      </c>
      <c r="E130">
        <v>161.81</v>
      </c>
      <c r="F130">
        <v>161.81</v>
      </c>
      <c r="G130">
        <v>181008600</v>
      </c>
      <c r="H130" t="str">
        <f t="shared" ref="H130:H161" si="6">IF(ISNUMBER(SEARCH("Dividend",B130)),"Yes","No")</f>
        <v>No</v>
      </c>
      <c r="I130" s="3">
        <f t="shared" si="4"/>
        <v>-6.2568796709344787E-2</v>
      </c>
    </row>
    <row r="131" spans="1:9" x14ac:dyDescent="0.3">
      <c r="A131" s="1">
        <v>44256</v>
      </c>
      <c r="B131">
        <v>163.03</v>
      </c>
      <c r="C131">
        <v>164.15</v>
      </c>
      <c r="D131">
        <v>157.13</v>
      </c>
      <c r="E131">
        <v>159.96</v>
      </c>
      <c r="F131">
        <v>159.96</v>
      </c>
      <c r="G131">
        <v>214111100</v>
      </c>
      <c r="H131" t="str">
        <f t="shared" si="6"/>
        <v>No</v>
      </c>
      <c r="I131" s="3">
        <f t="shared" si="4"/>
        <v>-1.1433162350905302E-2</v>
      </c>
    </row>
    <row r="132" spans="1:9" x14ac:dyDescent="0.3">
      <c r="A132" s="1">
        <v>44287</v>
      </c>
      <c r="B132">
        <v>161.56</v>
      </c>
      <c r="C132">
        <v>168.39</v>
      </c>
      <c r="D132">
        <v>161.28</v>
      </c>
      <c r="E132">
        <v>165.66</v>
      </c>
      <c r="F132">
        <v>165.66</v>
      </c>
      <c r="G132">
        <v>143030700</v>
      </c>
      <c r="H132" t="str">
        <f t="shared" si="6"/>
        <v>No</v>
      </c>
      <c r="I132" s="3">
        <f t="shared" ref="I132:I195" si="7">(F132/F131)-1</f>
        <v>3.5633908477119114E-2</v>
      </c>
    </row>
    <row r="133" spans="1:9" x14ac:dyDescent="0.3">
      <c r="A133" s="1">
        <v>44317</v>
      </c>
      <c r="B133">
        <v>167.61</v>
      </c>
      <c r="C133">
        <v>178.61</v>
      </c>
      <c r="D133">
        <v>165.5</v>
      </c>
      <c r="E133">
        <v>178.38</v>
      </c>
      <c r="F133">
        <v>178.38</v>
      </c>
      <c r="G133">
        <v>199082500</v>
      </c>
      <c r="H133" t="str">
        <f t="shared" si="6"/>
        <v>No</v>
      </c>
      <c r="I133" s="3">
        <f t="shared" si="7"/>
        <v>7.6783773994929305E-2</v>
      </c>
    </row>
    <row r="134" spans="1:9" x14ac:dyDescent="0.3">
      <c r="A134" s="1">
        <v>44348</v>
      </c>
      <c r="B134">
        <v>178.76</v>
      </c>
      <c r="C134">
        <v>178.85</v>
      </c>
      <c r="D134">
        <v>164.01</v>
      </c>
      <c r="E134">
        <v>165.63</v>
      </c>
      <c r="F134">
        <v>165.63</v>
      </c>
      <c r="G134">
        <v>207522500</v>
      </c>
      <c r="H134" t="str">
        <f t="shared" si="6"/>
        <v>No</v>
      </c>
      <c r="I134" s="3">
        <f t="shared" si="7"/>
        <v>-7.1476622939791512E-2</v>
      </c>
    </row>
    <row r="135" spans="1:9" x14ac:dyDescent="0.3">
      <c r="A135" s="1">
        <v>44378</v>
      </c>
      <c r="B135">
        <v>166.65</v>
      </c>
      <c r="C135">
        <v>171.52</v>
      </c>
      <c r="D135">
        <v>165.5</v>
      </c>
      <c r="E135">
        <v>169.82</v>
      </c>
      <c r="F135">
        <v>169.82</v>
      </c>
      <c r="G135">
        <v>145195500</v>
      </c>
      <c r="H135" t="str">
        <f t="shared" si="6"/>
        <v>No</v>
      </c>
      <c r="I135" s="3">
        <f t="shared" si="7"/>
        <v>2.5297349513976997E-2</v>
      </c>
    </row>
    <row r="136" spans="1:9" x14ac:dyDescent="0.3">
      <c r="A136" s="1">
        <v>44409</v>
      </c>
      <c r="B136">
        <v>169.3</v>
      </c>
      <c r="C136">
        <v>171.4</v>
      </c>
      <c r="D136">
        <v>160.68</v>
      </c>
      <c r="E136">
        <v>169.69</v>
      </c>
      <c r="F136">
        <v>169.69</v>
      </c>
      <c r="G136">
        <v>165504300</v>
      </c>
      <c r="H136" t="str">
        <f t="shared" si="6"/>
        <v>No</v>
      </c>
      <c r="I136" s="3">
        <f t="shared" si="7"/>
        <v>-7.6551642916022899E-4</v>
      </c>
    </row>
    <row r="137" spans="1:9" x14ac:dyDescent="0.3">
      <c r="A137" s="1">
        <v>44440</v>
      </c>
      <c r="B137">
        <v>169.94</v>
      </c>
      <c r="C137">
        <v>171.55</v>
      </c>
      <c r="D137">
        <v>160.97</v>
      </c>
      <c r="E137">
        <v>164.22</v>
      </c>
      <c r="F137">
        <v>164.22</v>
      </c>
      <c r="G137">
        <v>160613200</v>
      </c>
      <c r="H137" t="str">
        <f t="shared" si="6"/>
        <v>No</v>
      </c>
      <c r="I137" s="3">
        <f t="shared" si="7"/>
        <v>-3.2235252519299928E-2</v>
      </c>
    </row>
    <row r="138" spans="1:9" x14ac:dyDescent="0.3">
      <c r="A138" s="1">
        <v>44470</v>
      </c>
      <c r="B138">
        <v>164.27</v>
      </c>
      <c r="C138">
        <v>169.54</v>
      </c>
      <c r="D138">
        <v>163.47</v>
      </c>
      <c r="E138">
        <v>166.65</v>
      </c>
      <c r="F138">
        <v>166.65</v>
      </c>
      <c r="G138">
        <v>136138300</v>
      </c>
      <c r="H138" t="str">
        <f t="shared" si="6"/>
        <v>No</v>
      </c>
      <c r="I138" s="3">
        <f t="shared" si="7"/>
        <v>1.479722323712096E-2</v>
      </c>
    </row>
    <row r="139" spans="1:9" x14ac:dyDescent="0.3">
      <c r="A139" s="1">
        <v>44501</v>
      </c>
      <c r="B139">
        <v>167.38</v>
      </c>
      <c r="C139">
        <v>174.67</v>
      </c>
      <c r="D139">
        <v>164.38</v>
      </c>
      <c r="E139">
        <v>165.5</v>
      </c>
      <c r="F139">
        <v>165.5</v>
      </c>
      <c r="G139">
        <v>162163400</v>
      </c>
      <c r="H139" t="str">
        <f t="shared" si="6"/>
        <v>No</v>
      </c>
      <c r="I139" s="3">
        <f t="shared" si="7"/>
        <v>-6.9006900690069539E-3</v>
      </c>
    </row>
    <row r="140" spans="1:9" x14ac:dyDescent="0.3">
      <c r="A140" s="1">
        <v>44531</v>
      </c>
      <c r="B140">
        <v>166.84</v>
      </c>
      <c r="C140">
        <v>171.04</v>
      </c>
      <c r="D140">
        <v>163.80000000000001</v>
      </c>
      <c r="E140">
        <v>170.96</v>
      </c>
      <c r="F140">
        <v>170.96</v>
      </c>
      <c r="G140">
        <v>151214100</v>
      </c>
      <c r="H140" t="str">
        <f t="shared" si="6"/>
        <v>No</v>
      </c>
      <c r="I140" s="3">
        <f t="shared" si="7"/>
        <v>3.2990936555891359E-2</v>
      </c>
    </row>
    <row r="141" spans="1:9" x14ac:dyDescent="0.3">
      <c r="A141" s="1">
        <v>44562</v>
      </c>
      <c r="B141">
        <v>168.86</v>
      </c>
      <c r="C141">
        <v>173.15</v>
      </c>
      <c r="D141">
        <v>166.37</v>
      </c>
      <c r="E141">
        <v>168.09</v>
      </c>
      <c r="F141">
        <v>168.09</v>
      </c>
      <c r="G141">
        <v>211125100</v>
      </c>
      <c r="H141" t="str">
        <f t="shared" si="6"/>
        <v>No</v>
      </c>
      <c r="I141" s="3">
        <f t="shared" si="7"/>
        <v>-1.6787552643893311E-2</v>
      </c>
    </row>
    <row r="142" spans="1:9" x14ac:dyDescent="0.3">
      <c r="A142" s="1">
        <v>44593</v>
      </c>
      <c r="B142">
        <v>168.57</v>
      </c>
      <c r="C142">
        <v>182.6</v>
      </c>
      <c r="D142">
        <v>167.03</v>
      </c>
      <c r="E142">
        <v>178.38</v>
      </c>
      <c r="F142">
        <v>178.38</v>
      </c>
      <c r="G142">
        <v>254601300</v>
      </c>
      <c r="H142" t="str">
        <f t="shared" si="6"/>
        <v>No</v>
      </c>
      <c r="I142" s="3">
        <f t="shared" si="7"/>
        <v>6.1217205068713199E-2</v>
      </c>
    </row>
    <row r="143" spans="1:9" x14ac:dyDescent="0.3">
      <c r="A143" s="1">
        <v>44621</v>
      </c>
      <c r="B143">
        <v>179.05</v>
      </c>
      <c r="C143">
        <v>193.3</v>
      </c>
      <c r="D143">
        <v>176.69</v>
      </c>
      <c r="E143">
        <v>180.65</v>
      </c>
      <c r="F143">
        <v>180.65</v>
      </c>
      <c r="G143">
        <v>377087100</v>
      </c>
      <c r="H143" t="str">
        <f t="shared" si="6"/>
        <v>No</v>
      </c>
      <c r="I143" s="3">
        <f t="shared" si="7"/>
        <v>1.27256418881041E-2</v>
      </c>
    </row>
    <row r="144" spans="1:9" x14ac:dyDescent="0.3">
      <c r="A144" s="1">
        <v>44652</v>
      </c>
      <c r="B144">
        <v>179.55</v>
      </c>
      <c r="C144">
        <v>186.1</v>
      </c>
      <c r="D144">
        <v>175.5</v>
      </c>
      <c r="E144">
        <v>176.91</v>
      </c>
      <c r="F144">
        <v>176.91</v>
      </c>
      <c r="G144">
        <v>195348400</v>
      </c>
      <c r="H144" t="str">
        <f t="shared" si="6"/>
        <v>No</v>
      </c>
      <c r="I144" s="3">
        <f t="shared" si="7"/>
        <v>-2.0703016883476422E-2</v>
      </c>
    </row>
    <row r="145" spans="1:9" x14ac:dyDescent="0.3">
      <c r="A145" s="1">
        <v>44682</v>
      </c>
      <c r="B145">
        <v>173.61</v>
      </c>
      <c r="C145">
        <v>177.61</v>
      </c>
      <c r="D145">
        <v>168.01</v>
      </c>
      <c r="E145">
        <v>171.14</v>
      </c>
      <c r="F145">
        <v>171.14</v>
      </c>
      <c r="G145">
        <v>179911400</v>
      </c>
      <c r="H145" t="str">
        <f t="shared" si="6"/>
        <v>No</v>
      </c>
      <c r="I145" s="3">
        <f t="shared" si="7"/>
        <v>-3.2615454185744186E-2</v>
      </c>
    </row>
    <row r="146" spans="1:9" x14ac:dyDescent="0.3">
      <c r="A146" s="1">
        <v>44713</v>
      </c>
      <c r="B146">
        <v>172.21</v>
      </c>
      <c r="C146">
        <v>174.94</v>
      </c>
      <c r="D146">
        <v>168.24</v>
      </c>
      <c r="E146">
        <v>168.46</v>
      </c>
      <c r="F146">
        <v>168.46</v>
      </c>
      <c r="G146">
        <v>145735200</v>
      </c>
      <c r="H146" t="str">
        <f t="shared" si="6"/>
        <v>No</v>
      </c>
      <c r="I146" s="3">
        <f t="shared" si="7"/>
        <v>-1.5659693817926756E-2</v>
      </c>
    </row>
    <row r="147" spans="1:9" x14ac:dyDescent="0.3">
      <c r="A147" s="1">
        <v>44743</v>
      </c>
      <c r="B147">
        <v>167.14</v>
      </c>
      <c r="C147">
        <v>168.68</v>
      </c>
      <c r="D147">
        <v>158.03</v>
      </c>
      <c r="E147">
        <v>164.1</v>
      </c>
      <c r="F147">
        <v>164.1</v>
      </c>
      <c r="G147">
        <v>134877000</v>
      </c>
      <c r="H147" t="str">
        <f t="shared" si="6"/>
        <v>No</v>
      </c>
      <c r="I147" s="3">
        <f t="shared" si="7"/>
        <v>-2.5881514899679492E-2</v>
      </c>
    </row>
    <row r="148" spans="1:9" x14ac:dyDescent="0.3">
      <c r="A148" s="1">
        <v>44774</v>
      </c>
      <c r="B148">
        <v>164.98</v>
      </c>
      <c r="C148">
        <v>167.98</v>
      </c>
      <c r="D148">
        <v>159.26</v>
      </c>
      <c r="E148">
        <v>159.27000000000001</v>
      </c>
      <c r="F148">
        <v>159.27000000000001</v>
      </c>
      <c r="G148">
        <v>110217900</v>
      </c>
      <c r="H148" t="str">
        <f t="shared" si="6"/>
        <v>No</v>
      </c>
      <c r="I148" s="3">
        <f t="shared" si="7"/>
        <v>-2.9433272394881027E-2</v>
      </c>
    </row>
    <row r="149" spans="1:9" x14ac:dyDescent="0.3">
      <c r="A149" s="1">
        <v>44805</v>
      </c>
      <c r="B149">
        <v>158.16999999999999</v>
      </c>
      <c r="C149">
        <v>161.62</v>
      </c>
      <c r="D149">
        <v>151.03</v>
      </c>
      <c r="E149">
        <v>154.66999999999999</v>
      </c>
      <c r="F149">
        <v>154.66999999999999</v>
      </c>
      <c r="G149">
        <v>139879400</v>
      </c>
      <c r="H149" t="str">
        <f t="shared" si="6"/>
        <v>No</v>
      </c>
      <c r="I149" s="3">
        <f t="shared" si="7"/>
        <v>-2.8881773089721952E-2</v>
      </c>
    </row>
    <row r="150" spans="1:9" x14ac:dyDescent="0.3">
      <c r="A150" s="1">
        <v>44835</v>
      </c>
      <c r="B150">
        <v>155.44</v>
      </c>
      <c r="C150">
        <v>161.08000000000001</v>
      </c>
      <c r="D150">
        <v>151.27000000000001</v>
      </c>
      <c r="E150">
        <v>151.91</v>
      </c>
      <c r="F150">
        <v>151.91</v>
      </c>
      <c r="G150">
        <v>118402700</v>
      </c>
      <c r="H150" t="str">
        <f t="shared" si="6"/>
        <v>No</v>
      </c>
      <c r="I150" s="3">
        <f t="shared" si="7"/>
        <v>-1.7844443007693722E-2</v>
      </c>
    </row>
    <row r="151" spans="1:9" x14ac:dyDescent="0.3">
      <c r="A151" s="1">
        <v>44866</v>
      </c>
      <c r="B151">
        <v>153.82</v>
      </c>
      <c r="C151">
        <v>166.23</v>
      </c>
      <c r="D151">
        <v>150.57</v>
      </c>
      <c r="E151">
        <v>164.81</v>
      </c>
      <c r="F151">
        <v>164.81</v>
      </c>
      <c r="G151">
        <v>114967900</v>
      </c>
      <c r="H151" t="str">
        <f t="shared" si="6"/>
        <v>No</v>
      </c>
      <c r="I151" s="3">
        <f t="shared" si="7"/>
        <v>8.4918701862945145E-2</v>
      </c>
    </row>
    <row r="152" spans="1:9" x14ac:dyDescent="0.3">
      <c r="A152" s="1">
        <v>44896</v>
      </c>
      <c r="B152">
        <v>167.48</v>
      </c>
      <c r="C152">
        <v>170.61</v>
      </c>
      <c r="D152">
        <v>164.32</v>
      </c>
      <c r="E152">
        <v>169.64</v>
      </c>
      <c r="F152">
        <v>169.64</v>
      </c>
      <c r="G152">
        <v>106815500</v>
      </c>
      <c r="H152" t="str">
        <f t="shared" si="6"/>
        <v>No</v>
      </c>
      <c r="I152" s="3">
        <f t="shared" si="7"/>
        <v>2.930647412171572E-2</v>
      </c>
    </row>
    <row r="153" spans="1:9" x14ac:dyDescent="0.3">
      <c r="A153" s="1">
        <v>44927</v>
      </c>
      <c r="B153">
        <v>171.32</v>
      </c>
      <c r="C153">
        <v>181.22</v>
      </c>
      <c r="D153">
        <v>169.79</v>
      </c>
      <c r="E153">
        <v>179.41</v>
      </c>
      <c r="F153">
        <v>179.41</v>
      </c>
      <c r="G153">
        <v>118786700</v>
      </c>
      <c r="H153" t="str">
        <f t="shared" si="6"/>
        <v>No</v>
      </c>
      <c r="I153" s="3">
        <f t="shared" si="7"/>
        <v>5.7592548927139831E-2</v>
      </c>
    </row>
    <row r="154" spans="1:9" x14ac:dyDescent="0.3">
      <c r="A154" s="1">
        <v>44958</v>
      </c>
      <c r="B154">
        <v>179.75</v>
      </c>
      <c r="C154">
        <v>181.73</v>
      </c>
      <c r="D154">
        <v>168.19</v>
      </c>
      <c r="E154">
        <v>169.78</v>
      </c>
      <c r="F154">
        <v>169.78</v>
      </c>
      <c r="G154">
        <v>113802300</v>
      </c>
      <c r="H154" t="str">
        <f t="shared" si="6"/>
        <v>No</v>
      </c>
      <c r="I154" s="3">
        <f t="shared" si="7"/>
        <v>-5.3675937796109463E-2</v>
      </c>
    </row>
    <row r="155" spans="1:9" x14ac:dyDescent="0.3">
      <c r="A155" s="1">
        <v>44986</v>
      </c>
      <c r="B155">
        <v>170.95</v>
      </c>
      <c r="C155">
        <v>186.24</v>
      </c>
      <c r="D155">
        <v>168.52</v>
      </c>
      <c r="E155">
        <v>183.22</v>
      </c>
      <c r="F155">
        <v>183.22</v>
      </c>
      <c r="G155">
        <v>223186600</v>
      </c>
      <c r="H155" t="str">
        <f t="shared" si="6"/>
        <v>No</v>
      </c>
      <c r="I155" s="3">
        <f t="shared" si="7"/>
        <v>7.9161267522676493E-2</v>
      </c>
    </row>
    <row r="156" spans="1:9" x14ac:dyDescent="0.3">
      <c r="A156" s="1">
        <v>45017</v>
      </c>
      <c r="B156">
        <v>183.85</v>
      </c>
      <c r="C156">
        <v>190.41</v>
      </c>
      <c r="D156">
        <v>183.22</v>
      </c>
      <c r="E156">
        <v>184.8</v>
      </c>
      <c r="F156">
        <v>184.8</v>
      </c>
      <c r="G156">
        <v>170988100</v>
      </c>
      <c r="H156" t="str">
        <f t="shared" si="6"/>
        <v>No</v>
      </c>
      <c r="I156" s="3">
        <f t="shared" si="7"/>
        <v>8.6235127169522752E-3</v>
      </c>
    </row>
    <row r="157" spans="1:9" x14ac:dyDescent="0.3">
      <c r="A157" s="1">
        <v>45047</v>
      </c>
      <c r="B157">
        <v>186.05</v>
      </c>
      <c r="C157">
        <v>191.36</v>
      </c>
      <c r="D157">
        <v>180.09</v>
      </c>
      <c r="E157">
        <v>182.32</v>
      </c>
      <c r="F157">
        <v>182.32</v>
      </c>
      <c r="G157">
        <v>182184900</v>
      </c>
      <c r="H157" t="str">
        <f t="shared" si="6"/>
        <v>No</v>
      </c>
      <c r="I157" s="3">
        <f t="shared" si="7"/>
        <v>-1.3419913419913554E-2</v>
      </c>
    </row>
    <row r="158" spans="1:9" x14ac:dyDescent="0.3">
      <c r="A158" s="1">
        <v>45078</v>
      </c>
      <c r="B158">
        <v>182.81</v>
      </c>
      <c r="C158">
        <v>184.21</v>
      </c>
      <c r="D158">
        <v>175.79</v>
      </c>
      <c r="E158">
        <v>178.27</v>
      </c>
      <c r="F158">
        <v>178.27</v>
      </c>
      <c r="G158">
        <v>133968200</v>
      </c>
      <c r="H158" t="str">
        <f t="shared" si="6"/>
        <v>No</v>
      </c>
      <c r="I158" s="3">
        <f t="shared" si="7"/>
        <v>-2.2213690215006521E-2</v>
      </c>
    </row>
    <row r="159" spans="1:9" x14ac:dyDescent="0.3">
      <c r="A159" s="1">
        <v>45108</v>
      </c>
      <c r="B159">
        <v>178.61</v>
      </c>
      <c r="C159">
        <v>184.23</v>
      </c>
      <c r="D159">
        <v>176.66</v>
      </c>
      <c r="E159">
        <v>182.35</v>
      </c>
      <c r="F159">
        <v>182.35</v>
      </c>
      <c r="G159">
        <v>99844800</v>
      </c>
      <c r="H159" t="str">
        <f t="shared" si="6"/>
        <v>No</v>
      </c>
      <c r="I159" s="3">
        <f t="shared" si="7"/>
        <v>2.2886632635889192E-2</v>
      </c>
    </row>
    <row r="160" spans="1:9" x14ac:dyDescent="0.3">
      <c r="A160" s="1">
        <v>45139</v>
      </c>
      <c r="B160">
        <v>180.85</v>
      </c>
      <c r="C160">
        <v>181.38</v>
      </c>
      <c r="D160">
        <v>174.93</v>
      </c>
      <c r="E160">
        <v>180.02</v>
      </c>
      <c r="F160">
        <v>180.02</v>
      </c>
      <c r="G160">
        <v>140384300</v>
      </c>
      <c r="H160" t="str">
        <f t="shared" si="6"/>
        <v>No</v>
      </c>
      <c r="I160" s="3">
        <f t="shared" si="7"/>
        <v>-1.2777625445571594E-2</v>
      </c>
    </row>
    <row r="161" spans="1:9" x14ac:dyDescent="0.3">
      <c r="A161" s="1">
        <v>45170</v>
      </c>
      <c r="B161">
        <v>180.8</v>
      </c>
      <c r="C161">
        <v>181.12</v>
      </c>
      <c r="D161">
        <v>171.27</v>
      </c>
      <c r="E161">
        <v>171.45</v>
      </c>
      <c r="F161">
        <v>171.45</v>
      </c>
      <c r="G161">
        <v>122800000</v>
      </c>
      <c r="H161" t="str">
        <f t="shared" si="6"/>
        <v>No</v>
      </c>
      <c r="I161" s="3">
        <f t="shared" si="7"/>
        <v>-4.7605821575380625E-2</v>
      </c>
    </row>
    <row r="162" spans="1:9" x14ac:dyDescent="0.3">
      <c r="A162" s="1">
        <v>45200</v>
      </c>
      <c r="B162">
        <v>170.23</v>
      </c>
      <c r="C162">
        <v>186.36</v>
      </c>
      <c r="D162">
        <v>168.3</v>
      </c>
      <c r="E162">
        <v>184.09</v>
      </c>
      <c r="F162">
        <v>184.09</v>
      </c>
      <c r="G162">
        <v>222528100</v>
      </c>
      <c r="H162" t="str">
        <f t="shared" ref="H162:H195" si="8">IF(ISNUMBER(SEARCH("Dividend",B162)),"Yes","No")</f>
        <v>No</v>
      </c>
      <c r="I162" s="3">
        <f t="shared" si="7"/>
        <v>7.3724117818606105E-2</v>
      </c>
    </row>
    <row r="163" spans="1:9" x14ac:dyDescent="0.3">
      <c r="A163" s="1">
        <v>45231</v>
      </c>
      <c r="B163">
        <v>183.91</v>
      </c>
      <c r="C163">
        <v>189.99</v>
      </c>
      <c r="D163">
        <v>179.11</v>
      </c>
      <c r="E163">
        <v>188.75</v>
      </c>
      <c r="F163">
        <v>188.75</v>
      </c>
      <c r="G163">
        <v>143757900</v>
      </c>
      <c r="H163" t="str">
        <f t="shared" si="8"/>
        <v>No</v>
      </c>
      <c r="I163" s="3">
        <f t="shared" si="7"/>
        <v>2.5313705252865359E-2</v>
      </c>
    </row>
    <row r="164" spans="1:9" x14ac:dyDescent="0.3">
      <c r="A164" s="1">
        <v>45261</v>
      </c>
      <c r="B164">
        <v>188.81</v>
      </c>
      <c r="C164">
        <v>193.18</v>
      </c>
      <c r="D164">
        <v>183.15</v>
      </c>
      <c r="E164">
        <v>191.17</v>
      </c>
      <c r="F164">
        <v>191.17</v>
      </c>
      <c r="G164">
        <v>153605600</v>
      </c>
      <c r="H164" t="str">
        <f t="shared" si="8"/>
        <v>No</v>
      </c>
      <c r="I164" s="3">
        <f t="shared" si="7"/>
        <v>1.2821192052980157E-2</v>
      </c>
    </row>
    <row r="165" spans="1:9" x14ac:dyDescent="0.3">
      <c r="A165" s="1">
        <v>45292</v>
      </c>
      <c r="B165">
        <v>191.44</v>
      </c>
      <c r="C165">
        <v>191.89</v>
      </c>
      <c r="D165">
        <v>185.45</v>
      </c>
      <c r="E165">
        <v>188.45</v>
      </c>
      <c r="F165">
        <v>188.45</v>
      </c>
      <c r="G165">
        <v>124735600</v>
      </c>
      <c r="H165" t="str">
        <f t="shared" si="8"/>
        <v>No</v>
      </c>
      <c r="I165" s="3">
        <f t="shared" si="7"/>
        <v>-1.4228173876654315E-2</v>
      </c>
    </row>
    <row r="166" spans="1:9" x14ac:dyDescent="0.3">
      <c r="A166" s="1">
        <v>45323</v>
      </c>
      <c r="B166">
        <v>189.71</v>
      </c>
      <c r="C166">
        <v>191.36</v>
      </c>
      <c r="D166">
        <v>183.78</v>
      </c>
      <c r="E166">
        <v>189.31</v>
      </c>
      <c r="F166">
        <v>189.31</v>
      </c>
      <c r="G166">
        <v>118520300</v>
      </c>
      <c r="H166" t="str">
        <f t="shared" si="8"/>
        <v>No</v>
      </c>
      <c r="I166" s="3">
        <f t="shared" si="7"/>
        <v>4.5635447068188562E-3</v>
      </c>
    </row>
    <row r="167" spans="1:9" x14ac:dyDescent="0.3">
      <c r="A167" s="1">
        <v>45352</v>
      </c>
      <c r="B167">
        <v>190.27</v>
      </c>
      <c r="C167">
        <v>206.05</v>
      </c>
      <c r="D167">
        <v>189.44</v>
      </c>
      <c r="E167">
        <v>205.72</v>
      </c>
      <c r="F167">
        <v>205.72</v>
      </c>
      <c r="G167">
        <v>162616600</v>
      </c>
      <c r="H167" t="str">
        <f t="shared" si="8"/>
        <v>No</v>
      </c>
      <c r="I167" s="3">
        <f t="shared" si="7"/>
        <v>8.6683218002218565E-2</v>
      </c>
    </row>
    <row r="168" spans="1:9" x14ac:dyDescent="0.3">
      <c r="A168" s="1">
        <v>45383</v>
      </c>
      <c r="B168">
        <v>208.68</v>
      </c>
      <c r="C168">
        <v>225.09</v>
      </c>
      <c r="D168">
        <v>206.29</v>
      </c>
      <c r="E168">
        <v>211.87</v>
      </c>
      <c r="F168">
        <v>211.87</v>
      </c>
      <c r="G168">
        <v>254338500</v>
      </c>
      <c r="H168" t="str">
        <f t="shared" si="8"/>
        <v>No</v>
      </c>
      <c r="I168" s="3">
        <f t="shared" si="7"/>
        <v>2.9895002916585645E-2</v>
      </c>
    </row>
    <row r="169" spans="1:9" x14ac:dyDescent="0.3">
      <c r="A169" s="1">
        <v>45413</v>
      </c>
      <c r="B169">
        <v>212.96</v>
      </c>
      <c r="C169">
        <v>225.66</v>
      </c>
      <c r="D169">
        <v>210.71</v>
      </c>
      <c r="E169">
        <v>215.3</v>
      </c>
      <c r="F169">
        <v>215.3</v>
      </c>
      <c r="G169">
        <v>141706000</v>
      </c>
      <c r="H169" t="str">
        <f t="shared" si="8"/>
        <v>No</v>
      </c>
      <c r="I169" s="3">
        <f t="shared" si="7"/>
        <v>1.6189172605843183E-2</v>
      </c>
    </row>
    <row r="170" spans="1:9" x14ac:dyDescent="0.3">
      <c r="A170" s="1">
        <v>45444</v>
      </c>
      <c r="B170">
        <v>215.92</v>
      </c>
      <c r="C170">
        <v>219.97</v>
      </c>
      <c r="D170">
        <v>211.54</v>
      </c>
      <c r="E170">
        <v>215.01</v>
      </c>
      <c r="F170">
        <v>215.01</v>
      </c>
      <c r="G170">
        <v>108735300</v>
      </c>
      <c r="H170" t="str">
        <f t="shared" si="8"/>
        <v>No</v>
      </c>
      <c r="I170" s="3">
        <f t="shared" si="7"/>
        <v>-1.3469577333953264E-3</v>
      </c>
    </row>
    <row r="171" spans="1:9" x14ac:dyDescent="0.3">
      <c r="A171" s="1">
        <v>45474</v>
      </c>
      <c r="B171">
        <v>215.25</v>
      </c>
      <c r="C171">
        <v>229.65</v>
      </c>
      <c r="D171">
        <v>214.49</v>
      </c>
      <c r="E171">
        <v>226.55</v>
      </c>
      <c r="F171">
        <v>226.55</v>
      </c>
      <c r="G171">
        <v>138673000</v>
      </c>
      <c r="H171" t="str">
        <f t="shared" si="8"/>
        <v>No</v>
      </c>
      <c r="I171" s="3">
        <f t="shared" si="7"/>
        <v>5.3671922236175229E-2</v>
      </c>
    </row>
    <row r="172" spans="1:9" x14ac:dyDescent="0.3">
      <c r="A172" s="1">
        <v>45505</v>
      </c>
      <c r="B172">
        <v>226.74</v>
      </c>
      <c r="C172">
        <v>234.01</v>
      </c>
      <c r="D172">
        <v>220.11</v>
      </c>
      <c r="E172">
        <v>231.29</v>
      </c>
      <c r="F172">
        <v>231.29</v>
      </c>
      <c r="G172">
        <v>147220700</v>
      </c>
      <c r="H172" t="str">
        <f t="shared" si="8"/>
        <v>No</v>
      </c>
      <c r="I172" s="3">
        <f t="shared" si="7"/>
        <v>2.0922533657029341E-2</v>
      </c>
    </row>
    <row r="173" spans="1:9" x14ac:dyDescent="0.3">
      <c r="A173" s="1">
        <v>45536</v>
      </c>
      <c r="B173">
        <v>232.95</v>
      </c>
      <c r="C173">
        <v>247.37</v>
      </c>
      <c r="D173">
        <v>228.52</v>
      </c>
      <c r="E173">
        <v>243.06</v>
      </c>
      <c r="F173">
        <v>243.06</v>
      </c>
      <c r="G173">
        <v>130608100</v>
      </c>
      <c r="H173" t="str">
        <f t="shared" si="8"/>
        <v>No</v>
      </c>
      <c r="I173" s="3">
        <f t="shared" si="7"/>
        <v>5.0888494963033493E-2</v>
      </c>
    </row>
    <row r="174" spans="1:9" x14ac:dyDescent="0.3">
      <c r="A174" s="1">
        <v>45566</v>
      </c>
      <c r="B174">
        <v>245.2</v>
      </c>
      <c r="C174">
        <v>257.70999999999998</v>
      </c>
      <c r="D174">
        <v>240.63</v>
      </c>
      <c r="E174">
        <v>253.51</v>
      </c>
      <c r="F174">
        <v>253.51</v>
      </c>
      <c r="G174">
        <v>145957700</v>
      </c>
      <c r="H174" t="str">
        <f t="shared" si="8"/>
        <v>No</v>
      </c>
      <c r="I174" s="3">
        <f t="shared" si="7"/>
        <v>4.2993499547436809E-2</v>
      </c>
    </row>
    <row r="175" spans="1:9" x14ac:dyDescent="0.3">
      <c r="A175" s="1">
        <v>45597</v>
      </c>
      <c r="B175">
        <v>254.33</v>
      </c>
      <c r="C175">
        <v>254.86</v>
      </c>
      <c r="D175">
        <v>236.13</v>
      </c>
      <c r="E175">
        <v>245.59</v>
      </c>
      <c r="F175">
        <v>245.59</v>
      </c>
      <c r="G175">
        <v>152567400</v>
      </c>
      <c r="H175" t="str">
        <f t="shared" si="8"/>
        <v>No</v>
      </c>
      <c r="I175" s="3">
        <f t="shared" si="7"/>
        <v>-3.1241371149066999E-2</v>
      </c>
    </row>
    <row r="176" spans="1:9" x14ac:dyDescent="0.3">
      <c r="A176" s="1">
        <v>45627</v>
      </c>
      <c r="B176">
        <v>244.46</v>
      </c>
      <c r="C176">
        <v>251.26</v>
      </c>
      <c r="D176">
        <v>238.73</v>
      </c>
      <c r="E176">
        <v>242.13</v>
      </c>
      <c r="F176">
        <v>242.13</v>
      </c>
      <c r="G176">
        <v>115478400</v>
      </c>
      <c r="H176" t="str">
        <f t="shared" si="8"/>
        <v>No</v>
      </c>
      <c r="I176" s="3">
        <f t="shared" si="7"/>
        <v>-1.4088521519605934E-2</v>
      </c>
    </row>
    <row r="177" spans="1:9" x14ac:dyDescent="0.3">
      <c r="A177" s="1">
        <v>45658</v>
      </c>
      <c r="B177">
        <v>244.22</v>
      </c>
      <c r="C177">
        <v>259.99</v>
      </c>
      <c r="D177">
        <v>242.05</v>
      </c>
      <c r="E177">
        <v>258.56</v>
      </c>
      <c r="F177">
        <v>258.56</v>
      </c>
      <c r="G177">
        <v>141384500</v>
      </c>
      <c r="H177" t="str">
        <f t="shared" si="8"/>
        <v>No</v>
      </c>
      <c r="I177" s="3">
        <f t="shared" si="7"/>
        <v>6.7856110353942123E-2</v>
      </c>
    </row>
    <row r="178" spans="1:9" x14ac:dyDescent="0.3">
      <c r="A178" s="1">
        <v>45689</v>
      </c>
      <c r="B178">
        <v>259.75</v>
      </c>
      <c r="C178">
        <v>272.32</v>
      </c>
      <c r="D178">
        <v>259.52</v>
      </c>
      <c r="E178">
        <v>263.27</v>
      </c>
      <c r="F178">
        <v>263.27</v>
      </c>
      <c r="G178">
        <v>178992600</v>
      </c>
      <c r="H178" t="str">
        <f t="shared" si="8"/>
        <v>No</v>
      </c>
      <c r="I178" s="3">
        <f t="shared" si="7"/>
        <v>1.8216274752475226E-2</v>
      </c>
    </row>
    <row r="179" spans="1:9" x14ac:dyDescent="0.3">
      <c r="A179" s="1">
        <v>45717</v>
      </c>
      <c r="B179">
        <v>265.07</v>
      </c>
      <c r="C179">
        <v>288.39</v>
      </c>
      <c r="D179">
        <v>265.07</v>
      </c>
      <c r="E179">
        <v>288.14</v>
      </c>
      <c r="F179">
        <v>288.14</v>
      </c>
      <c r="G179">
        <v>181005700</v>
      </c>
      <c r="H179" t="str">
        <f t="shared" si="8"/>
        <v>No</v>
      </c>
      <c r="I179" s="3">
        <f t="shared" si="7"/>
        <v>9.4465757587267829E-2</v>
      </c>
    </row>
    <row r="180" spans="1:9" x14ac:dyDescent="0.3">
      <c r="A180" s="1">
        <v>45748</v>
      </c>
      <c r="B180">
        <v>288.54000000000002</v>
      </c>
      <c r="C180">
        <v>317.63</v>
      </c>
      <c r="D180">
        <v>272.58</v>
      </c>
      <c r="E180">
        <v>303.77</v>
      </c>
      <c r="F180">
        <v>303.77</v>
      </c>
      <c r="G180">
        <v>354296400</v>
      </c>
      <c r="H180" t="str">
        <f t="shared" si="8"/>
        <v>No</v>
      </c>
      <c r="I180" s="3">
        <f t="shared" si="7"/>
        <v>5.4244464496425282E-2</v>
      </c>
    </row>
    <row r="181" spans="1:9" x14ac:dyDescent="0.3">
      <c r="A181" s="1">
        <v>45778</v>
      </c>
      <c r="B181">
        <v>297.41000000000003</v>
      </c>
      <c r="C181">
        <v>315.62</v>
      </c>
      <c r="D181">
        <v>291.77999999999997</v>
      </c>
      <c r="E181">
        <v>303.60000000000002</v>
      </c>
      <c r="F181">
        <v>303.60000000000002</v>
      </c>
      <c r="G181">
        <v>235215100</v>
      </c>
      <c r="H181" t="str">
        <f t="shared" si="8"/>
        <v>No</v>
      </c>
      <c r="I181" s="3">
        <f t="shared" si="7"/>
        <v>-5.5963393356806002E-4</v>
      </c>
    </row>
    <row r="182" spans="1:9" x14ac:dyDescent="0.3">
      <c r="A182" s="1">
        <v>45809</v>
      </c>
      <c r="B182">
        <v>309.20999999999998</v>
      </c>
      <c r="C182">
        <v>317.60000000000002</v>
      </c>
      <c r="D182">
        <v>299.89</v>
      </c>
      <c r="E182">
        <v>304.83</v>
      </c>
      <c r="F182">
        <v>304.83</v>
      </c>
      <c r="G182">
        <v>199565100</v>
      </c>
      <c r="H182" t="str">
        <f t="shared" si="8"/>
        <v>No</v>
      </c>
      <c r="I182" s="3">
        <f t="shared" si="7"/>
        <v>4.0513833992092962E-3</v>
      </c>
    </row>
    <row r="183" spans="1:9" x14ac:dyDescent="0.3">
      <c r="A183" s="1">
        <v>45839</v>
      </c>
      <c r="B183">
        <v>308.56</v>
      </c>
      <c r="C183">
        <v>316.24</v>
      </c>
      <c r="D183">
        <v>300.95999999999998</v>
      </c>
      <c r="E183">
        <v>302.95999999999998</v>
      </c>
      <c r="F183">
        <v>302.95999999999998</v>
      </c>
      <c r="G183">
        <v>202604000</v>
      </c>
      <c r="H183" t="str">
        <f t="shared" si="8"/>
        <v>No</v>
      </c>
      <c r="I183" s="3">
        <f t="shared" si="7"/>
        <v>-6.1345668077289472E-3</v>
      </c>
    </row>
    <row r="184" spans="1:9" x14ac:dyDescent="0.3">
      <c r="A184" s="1">
        <v>45870</v>
      </c>
      <c r="B184">
        <v>308.61</v>
      </c>
      <c r="C184">
        <v>318.08999999999997</v>
      </c>
      <c r="D184">
        <v>305.19</v>
      </c>
      <c r="E184">
        <v>318.07</v>
      </c>
      <c r="F184">
        <v>318.07</v>
      </c>
      <c r="G184">
        <v>178573800</v>
      </c>
      <c r="H184" t="str">
        <f t="shared" si="8"/>
        <v>No</v>
      </c>
      <c r="I184" s="3">
        <f t="shared" si="7"/>
        <v>4.9874570900448889E-2</v>
      </c>
    </row>
    <row r="185" spans="1:9" x14ac:dyDescent="0.3">
      <c r="A185" s="1">
        <v>45901</v>
      </c>
      <c r="B185">
        <v>320.82</v>
      </c>
      <c r="C185">
        <v>355.57</v>
      </c>
      <c r="D185">
        <v>320.24</v>
      </c>
      <c r="E185">
        <v>355.47</v>
      </c>
      <c r="F185">
        <v>355.47</v>
      </c>
      <c r="G185">
        <v>301997100</v>
      </c>
      <c r="H185" t="str">
        <f t="shared" si="8"/>
        <v>No</v>
      </c>
      <c r="I185" s="3">
        <f t="shared" si="7"/>
        <v>0.11758417958311074</v>
      </c>
    </row>
    <row r="186" spans="1:9" x14ac:dyDescent="0.3">
      <c r="A186" s="1">
        <v>45931</v>
      </c>
      <c r="B186">
        <v>356.17</v>
      </c>
      <c r="C186">
        <v>403.3</v>
      </c>
      <c r="D186">
        <v>351.4</v>
      </c>
      <c r="E186">
        <v>368.12</v>
      </c>
      <c r="F186">
        <v>368.12</v>
      </c>
      <c r="G186">
        <v>553024300</v>
      </c>
      <c r="H186" t="str">
        <f t="shared" si="8"/>
        <v>No</v>
      </c>
      <c r="I186" s="3">
        <f t="shared" si="7"/>
        <v>3.5586688046811199E-2</v>
      </c>
    </row>
    <row r="187" spans="1:9" x14ac:dyDescent="0.3">
      <c r="A187" s="1">
        <v>45962</v>
      </c>
      <c r="B187">
        <v>368.91</v>
      </c>
      <c r="C187">
        <v>388.18</v>
      </c>
      <c r="D187">
        <v>361.39</v>
      </c>
      <c r="E187">
        <v>387.88</v>
      </c>
      <c r="F187">
        <v>387.88</v>
      </c>
      <c r="G187">
        <v>209285300</v>
      </c>
      <c r="H187" t="str">
        <f t="shared" si="8"/>
        <v>No</v>
      </c>
      <c r="I187" s="3">
        <f t="shared" si="7"/>
        <v>5.3678148429859851E-2</v>
      </c>
    </row>
    <row r="188" spans="1:9" x14ac:dyDescent="0.3">
      <c r="A188" s="1">
        <v>45992</v>
      </c>
      <c r="B188">
        <v>390.61</v>
      </c>
      <c r="C188">
        <v>418.45</v>
      </c>
      <c r="D188">
        <v>382.91</v>
      </c>
      <c r="E188">
        <v>396.31</v>
      </c>
      <c r="F188">
        <v>396.31</v>
      </c>
      <c r="G188">
        <v>232084800</v>
      </c>
      <c r="H188" t="str">
        <f t="shared" si="8"/>
        <v>No</v>
      </c>
      <c r="I188" s="3">
        <f t="shared" si="7"/>
        <v>2.1733525832731804E-2</v>
      </c>
    </row>
    <row r="189" spans="1:9" x14ac:dyDescent="0.3">
      <c r="A189" s="1">
        <v>46023</v>
      </c>
      <c r="B189">
        <v>401.62</v>
      </c>
      <c r="C189">
        <v>509.7</v>
      </c>
      <c r="D189">
        <v>396.25</v>
      </c>
      <c r="E189">
        <v>444.95</v>
      </c>
      <c r="F189">
        <v>444.95</v>
      </c>
      <c r="G189">
        <v>524008900</v>
      </c>
      <c r="H189" t="str">
        <f t="shared" si="8"/>
        <v>No</v>
      </c>
      <c r="I189" s="3">
        <f t="shared" si="7"/>
        <v>0.12273220458731804</v>
      </c>
    </row>
    <row r="190" spans="1:9" x14ac:dyDescent="0.3">
      <c r="A190" s="1">
        <v>46054</v>
      </c>
      <c r="B190">
        <v>434.01</v>
      </c>
      <c r="C190">
        <v>483.9</v>
      </c>
      <c r="D190">
        <v>422.55</v>
      </c>
      <c r="E190">
        <v>483.75</v>
      </c>
      <c r="F190">
        <v>483.75</v>
      </c>
      <c r="G190">
        <v>307033000</v>
      </c>
      <c r="H190" t="str">
        <f t="shared" si="8"/>
        <v>No</v>
      </c>
      <c r="I190" s="3">
        <f t="shared" si="7"/>
        <v>8.720080907967187E-2</v>
      </c>
    </row>
    <row r="191" spans="1:9" x14ac:dyDescent="0.3">
      <c r="A191" s="1">
        <v>46082</v>
      </c>
      <c r="B191">
        <v>490.1</v>
      </c>
      <c r="C191">
        <v>492.15</v>
      </c>
      <c r="D191">
        <v>399.2</v>
      </c>
      <c r="E191">
        <v>430.29</v>
      </c>
      <c r="F191">
        <v>430.29</v>
      </c>
      <c r="G191">
        <v>346662900</v>
      </c>
      <c r="H191" t="str">
        <f t="shared" si="8"/>
        <v>No</v>
      </c>
      <c r="I191" s="3">
        <f t="shared" si="7"/>
        <v>-0.11051162790697666</v>
      </c>
    </row>
    <row r="192" spans="1:9" x14ac:dyDescent="0.3">
      <c r="A192" s="1">
        <v>46113</v>
      </c>
      <c r="B192">
        <v>435</v>
      </c>
      <c r="C192">
        <v>448.7</v>
      </c>
      <c r="D192">
        <v>414.16</v>
      </c>
      <c r="E192">
        <v>423.66</v>
      </c>
      <c r="F192">
        <v>423.66</v>
      </c>
      <c r="G192">
        <v>157128700</v>
      </c>
      <c r="H192" t="str">
        <f t="shared" si="8"/>
        <v>No</v>
      </c>
      <c r="I192" s="3">
        <f t="shared" si="7"/>
        <v>-1.5408213065606913E-2</v>
      </c>
    </row>
    <row r="193" spans="1:10" x14ac:dyDescent="0.3">
      <c r="A193" s="1">
        <v>46143</v>
      </c>
      <c r="B193">
        <v>421.41</v>
      </c>
      <c r="C193">
        <v>437.42</v>
      </c>
      <c r="D193">
        <v>404.3</v>
      </c>
      <c r="E193">
        <v>417.12</v>
      </c>
      <c r="F193">
        <v>417.12</v>
      </c>
      <c r="G193">
        <v>120353900</v>
      </c>
      <c r="H193" t="str">
        <f t="shared" si="8"/>
        <v>No</v>
      </c>
      <c r="I193" s="3">
        <f t="shared" si="7"/>
        <v>-1.5436906953689378E-2</v>
      </c>
    </row>
    <row r="194" spans="1:10" x14ac:dyDescent="0.3">
      <c r="A194" s="1">
        <v>46174</v>
      </c>
      <c r="B194">
        <v>409.86</v>
      </c>
      <c r="C194">
        <v>414.4</v>
      </c>
      <c r="D194">
        <v>371.88</v>
      </c>
      <c r="E194">
        <v>386.54</v>
      </c>
      <c r="F194">
        <v>386.54</v>
      </c>
      <c r="G194">
        <v>82866200</v>
      </c>
      <c r="H194" t="str">
        <f t="shared" si="8"/>
        <v>No</v>
      </c>
      <c r="I194" s="3">
        <f t="shared" si="7"/>
        <v>-7.3312236286919741E-2</v>
      </c>
    </row>
    <row r="195" spans="1:10" x14ac:dyDescent="0.3">
      <c r="A195" s="1">
        <v>46185</v>
      </c>
      <c r="B195">
        <v>385.73</v>
      </c>
      <c r="C195">
        <v>388.77</v>
      </c>
      <c r="D195">
        <v>383.35</v>
      </c>
      <c r="E195">
        <v>386.54</v>
      </c>
      <c r="F195">
        <v>386.54</v>
      </c>
      <c r="G195">
        <v>7238632</v>
      </c>
      <c r="H195" t="str">
        <f t="shared" si="8"/>
        <v>No</v>
      </c>
      <c r="I195" s="3">
        <f t="shared" si="7"/>
        <v>0</v>
      </c>
    </row>
    <row r="197" spans="1:10" x14ac:dyDescent="0.3">
      <c r="H197" s="2" t="s">
        <v>11</v>
      </c>
      <c r="I197" s="4">
        <f>AVERAGE(I3:I195)</f>
        <v>7.1130716583272594E-3</v>
      </c>
      <c r="J197" s="2"/>
    </row>
    <row r="198" spans="1:10" x14ac:dyDescent="0.3">
      <c r="H198" s="2" t="s">
        <v>12</v>
      </c>
      <c r="I198" s="4">
        <f>STDEV(I3:I195)</f>
        <v>4.7353672937203037E-2</v>
      </c>
      <c r="J198" s="2"/>
    </row>
    <row r="199" spans="1:10" x14ac:dyDescent="0.3">
      <c r="H199" s="2"/>
      <c r="I199" s="2"/>
      <c r="J199" s="2"/>
    </row>
  </sheetData>
  <sortState xmlns:xlrd2="http://schemas.microsoft.com/office/spreadsheetml/2017/richdata2" ref="A2:I195">
    <sortCondition ref="A2:A195"/>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1AE1-063B-4556-8208-A67FE30E3627}">
  <dimension ref="A1:I199"/>
  <sheetViews>
    <sheetView workbookViewId="0">
      <pane ySplit="1" topLeftCell="A187" activePane="bottomLeft" state="frozen"/>
      <selection pane="bottomLeft" activeCell="O199" sqref="O199"/>
    </sheetView>
  </sheetViews>
  <sheetFormatPr defaultRowHeight="14.4" x14ac:dyDescent="0.3"/>
  <cols>
    <col min="1" max="1" width="10.5546875" bestFit="1" customWidth="1"/>
    <col min="2" max="2" width="13.5546875" bestFit="1" customWidth="1"/>
    <col min="3" max="5" width="6" bestFit="1" customWidth="1"/>
    <col min="7" max="7" width="11" bestFit="1" customWidth="1"/>
    <col min="8" max="8" width="13.44140625" bestFit="1" customWidth="1"/>
  </cols>
  <sheetData>
    <row r="1" spans="1:9" s="2" customFormat="1" x14ac:dyDescent="0.3">
      <c r="A1" s="2" t="s">
        <v>0</v>
      </c>
      <c r="B1" s="2" t="s">
        <v>1</v>
      </c>
      <c r="C1" s="2" t="s">
        <v>2</v>
      </c>
      <c r="D1" s="2" t="s">
        <v>3</v>
      </c>
      <c r="E1" s="2" t="s">
        <v>4</v>
      </c>
      <c r="F1" s="2" t="s">
        <v>5</v>
      </c>
      <c r="G1" s="2" t="s">
        <v>6</v>
      </c>
      <c r="H1" s="2" t="s">
        <v>10</v>
      </c>
      <c r="I1" s="2" t="s">
        <v>15</v>
      </c>
    </row>
    <row r="2" spans="1:9" x14ac:dyDescent="0.3">
      <c r="A2" s="1">
        <v>40330</v>
      </c>
      <c r="B2">
        <v>29.57</v>
      </c>
      <c r="C2">
        <v>31.79</v>
      </c>
      <c r="D2">
        <v>28.45</v>
      </c>
      <c r="E2">
        <v>29.24</v>
      </c>
      <c r="F2">
        <v>17.940000000000001</v>
      </c>
      <c r="G2">
        <v>42794000</v>
      </c>
      <c r="H2" t="str">
        <f t="shared" ref="H2:H33" si="0">IF(ISNUMBER(SEARCH("Dividend",B2)),"Yes","No")</f>
        <v>No</v>
      </c>
    </row>
    <row r="3" spans="1:9" x14ac:dyDescent="0.3">
      <c r="A3" s="1">
        <v>40360</v>
      </c>
      <c r="B3">
        <v>29.57</v>
      </c>
      <c r="C3">
        <v>33.14</v>
      </c>
      <c r="D3">
        <v>29.14</v>
      </c>
      <c r="E3">
        <v>32.65</v>
      </c>
      <c r="F3">
        <v>20.03</v>
      </c>
      <c r="G3">
        <v>27149000</v>
      </c>
      <c r="H3" t="str">
        <f t="shared" si="0"/>
        <v>No</v>
      </c>
      <c r="I3" s="3">
        <f>(F3/F2)-1</f>
        <v>0.11649944258639899</v>
      </c>
    </row>
    <row r="4" spans="1:9" x14ac:dyDescent="0.3">
      <c r="A4" s="1">
        <v>40391</v>
      </c>
      <c r="B4">
        <v>33.340000000000003</v>
      </c>
      <c r="C4">
        <v>33.92</v>
      </c>
      <c r="D4">
        <v>30.76</v>
      </c>
      <c r="E4">
        <v>31.48</v>
      </c>
      <c r="F4">
        <v>19.309999999999999</v>
      </c>
      <c r="G4">
        <v>26081700</v>
      </c>
      <c r="H4" t="str">
        <f t="shared" si="0"/>
        <v>No</v>
      </c>
      <c r="I4" s="3">
        <f t="shared" ref="I4:I67" si="1">(F4/F3)-1</f>
        <v>-3.5946080878682118E-2</v>
      </c>
    </row>
    <row r="5" spans="1:9" x14ac:dyDescent="0.3">
      <c r="A5" s="1">
        <v>40422</v>
      </c>
      <c r="B5">
        <v>32.28</v>
      </c>
      <c r="C5">
        <v>35.1</v>
      </c>
      <c r="D5">
        <v>32.18</v>
      </c>
      <c r="E5">
        <v>34.520000000000003</v>
      </c>
      <c r="F5">
        <v>21.18</v>
      </c>
      <c r="G5">
        <v>24197500</v>
      </c>
      <c r="H5" t="str">
        <f t="shared" si="0"/>
        <v>No</v>
      </c>
      <c r="I5" s="3">
        <f t="shared" si="1"/>
        <v>9.6841015018125365E-2</v>
      </c>
    </row>
    <row r="6" spans="1:9" x14ac:dyDescent="0.3">
      <c r="A6" s="1">
        <v>40452</v>
      </c>
      <c r="B6">
        <v>34.92</v>
      </c>
      <c r="C6">
        <v>36.58</v>
      </c>
      <c r="D6">
        <v>34.28</v>
      </c>
      <c r="E6">
        <v>35.92</v>
      </c>
      <c r="F6">
        <v>22.04</v>
      </c>
      <c r="G6">
        <v>22129200</v>
      </c>
      <c r="H6" t="str">
        <f t="shared" si="0"/>
        <v>No</v>
      </c>
      <c r="I6" s="3">
        <f t="shared" si="1"/>
        <v>4.0604343720491043E-2</v>
      </c>
    </row>
    <row r="7" spans="1:9" x14ac:dyDescent="0.3">
      <c r="A7" s="1">
        <v>40483</v>
      </c>
      <c r="B7">
        <v>35.94</v>
      </c>
      <c r="C7">
        <v>37.5</v>
      </c>
      <c r="D7">
        <v>34</v>
      </c>
      <c r="E7">
        <v>34.159999999999997</v>
      </c>
      <c r="F7">
        <v>20.96</v>
      </c>
      <c r="G7">
        <v>23512800</v>
      </c>
      <c r="H7" t="str">
        <f t="shared" si="0"/>
        <v>No</v>
      </c>
      <c r="I7" s="3">
        <f t="shared" si="1"/>
        <v>-4.9001814882032591E-2</v>
      </c>
    </row>
    <row r="8" spans="1:9" x14ac:dyDescent="0.3">
      <c r="A8" s="1">
        <v>40513</v>
      </c>
      <c r="B8">
        <v>34.89</v>
      </c>
      <c r="C8">
        <v>37.049999999999997</v>
      </c>
      <c r="D8">
        <v>34.840000000000003</v>
      </c>
      <c r="E8">
        <v>36.15</v>
      </c>
      <c r="F8">
        <v>22.18</v>
      </c>
      <c r="G8">
        <v>28585400</v>
      </c>
      <c r="H8" t="str">
        <f t="shared" si="0"/>
        <v>No</v>
      </c>
      <c r="I8" s="3">
        <f t="shared" si="1"/>
        <v>5.8206106870228869E-2</v>
      </c>
    </row>
    <row r="9" spans="1:9" x14ac:dyDescent="0.3">
      <c r="A9" s="1">
        <v>40544</v>
      </c>
      <c r="B9">
        <v>36.42</v>
      </c>
      <c r="C9">
        <v>37.549999999999997</v>
      </c>
      <c r="D9">
        <v>35.270000000000003</v>
      </c>
      <c r="E9">
        <v>36.93</v>
      </c>
      <c r="F9">
        <v>23.22</v>
      </c>
      <c r="G9">
        <v>44689700</v>
      </c>
      <c r="H9" t="str">
        <f t="shared" si="0"/>
        <v>No</v>
      </c>
      <c r="I9" s="3">
        <f t="shared" si="1"/>
        <v>4.6889089269612327E-2</v>
      </c>
    </row>
    <row r="10" spans="1:9" x14ac:dyDescent="0.3">
      <c r="A10" s="1">
        <v>40575</v>
      </c>
      <c r="B10">
        <v>37.42</v>
      </c>
      <c r="C10">
        <v>38.5</v>
      </c>
      <c r="D10">
        <v>37.119999999999997</v>
      </c>
      <c r="E10">
        <v>38.28</v>
      </c>
      <c r="F10">
        <v>24.07</v>
      </c>
      <c r="G10">
        <v>32788000</v>
      </c>
      <c r="H10" t="str">
        <f t="shared" si="0"/>
        <v>No</v>
      </c>
      <c r="I10" s="3">
        <f t="shared" si="1"/>
        <v>3.6606373815676108E-2</v>
      </c>
    </row>
    <row r="11" spans="1:9" x14ac:dyDescent="0.3">
      <c r="A11" s="1">
        <v>40603</v>
      </c>
      <c r="B11">
        <v>38.39</v>
      </c>
      <c r="C11">
        <v>38.43</v>
      </c>
      <c r="D11">
        <v>33.979999999999997</v>
      </c>
      <c r="E11">
        <v>37.31</v>
      </c>
      <c r="F11">
        <v>23.46</v>
      </c>
      <c r="G11">
        <v>45071200</v>
      </c>
      <c r="H11" t="str">
        <f t="shared" si="0"/>
        <v>No</v>
      </c>
      <c r="I11" s="3">
        <f t="shared" si="1"/>
        <v>-2.5342750311591167E-2</v>
      </c>
    </row>
    <row r="12" spans="1:9" x14ac:dyDescent="0.3">
      <c r="A12" s="1">
        <v>40634</v>
      </c>
      <c r="B12">
        <v>37.42</v>
      </c>
      <c r="C12">
        <v>39.79</v>
      </c>
      <c r="D12">
        <v>36.65</v>
      </c>
      <c r="E12">
        <v>39.619999999999997</v>
      </c>
      <c r="F12">
        <v>24.92</v>
      </c>
      <c r="G12">
        <v>53918800</v>
      </c>
      <c r="H12" t="str">
        <f t="shared" si="0"/>
        <v>No</v>
      </c>
      <c r="I12" s="3">
        <f t="shared" si="1"/>
        <v>6.223358908780896E-2</v>
      </c>
    </row>
    <row r="13" spans="1:9" x14ac:dyDescent="0.3">
      <c r="A13" s="1">
        <v>40664</v>
      </c>
      <c r="B13">
        <v>39.83</v>
      </c>
      <c r="C13">
        <v>39.94</v>
      </c>
      <c r="D13">
        <v>36.56</v>
      </c>
      <c r="E13">
        <v>38.549999999999997</v>
      </c>
      <c r="F13">
        <v>24.24</v>
      </c>
      <c r="G13">
        <v>35704100</v>
      </c>
      <c r="H13" t="str">
        <f t="shared" si="0"/>
        <v>No</v>
      </c>
      <c r="I13" s="3">
        <f t="shared" si="1"/>
        <v>-2.7287319422151013E-2</v>
      </c>
    </row>
    <row r="14" spans="1:9" x14ac:dyDescent="0.3">
      <c r="A14" s="1">
        <v>40695</v>
      </c>
      <c r="B14">
        <v>38.39</v>
      </c>
      <c r="C14">
        <v>38.409999999999997</v>
      </c>
      <c r="D14">
        <v>35.75</v>
      </c>
      <c r="E14">
        <v>38.08</v>
      </c>
      <c r="F14">
        <v>23.95</v>
      </c>
      <c r="G14">
        <v>49392800</v>
      </c>
      <c r="H14" t="str">
        <f t="shared" si="0"/>
        <v>No</v>
      </c>
      <c r="I14" s="3">
        <f t="shared" si="1"/>
        <v>-1.19636963696369E-2</v>
      </c>
    </row>
    <row r="15" spans="1:9" x14ac:dyDescent="0.3">
      <c r="A15" s="1">
        <v>40725</v>
      </c>
      <c r="B15">
        <v>38.020000000000003</v>
      </c>
      <c r="C15">
        <v>38.520000000000003</v>
      </c>
      <c r="D15">
        <v>35.979999999999997</v>
      </c>
      <c r="E15">
        <v>37.17</v>
      </c>
      <c r="F15">
        <v>23.38</v>
      </c>
      <c r="G15">
        <v>25330400</v>
      </c>
      <c r="H15" t="str">
        <f t="shared" si="0"/>
        <v>No</v>
      </c>
      <c r="I15" s="3">
        <f t="shared" si="1"/>
        <v>-2.3799582463465585E-2</v>
      </c>
    </row>
    <row r="16" spans="1:9" x14ac:dyDescent="0.3">
      <c r="A16" s="1">
        <v>40756</v>
      </c>
      <c r="B16">
        <v>37.61</v>
      </c>
      <c r="C16">
        <v>37.659999999999997</v>
      </c>
      <c r="D16">
        <v>31.37</v>
      </c>
      <c r="E16">
        <v>33.979999999999997</v>
      </c>
      <c r="F16">
        <v>21.37</v>
      </c>
      <c r="G16">
        <v>73229700</v>
      </c>
      <c r="H16" t="str">
        <f t="shared" si="0"/>
        <v>No</v>
      </c>
      <c r="I16" s="3">
        <f t="shared" si="1"/>
        <v>-8.5970915312232554E-2</v>
      </c>
    </row>
    <row r="17" spans="1:9" x14ac:dyDescent="0.3">
      <c r="A17" s="1">
        <v>40787</v>
      </c>
      <c r="B17">
        <v>33.83</v>
      </c>
      <c r="C17">
        <v>34.1</v>
      </c>
      <c r="D17">
        <v>29.11</v>
      </c>
      <c r="E17">
        <v>30.13</v>
      </c>
      <c r="F17">
        <v>18.95</v>
      </c>
      <c r="G17">
        <v>52555900</v>
      </c>
      <c r="H17" t="str">
        <f t="shared" si="0"/>
        <v>No</v>
      </c>
      <c r="I17" s="3">
        <f t="shared" si="1"/>
        <v>-0.11324286382779603</v>
      </c>
    </row>
    <row r="18" spans="1:9" x14ac:dyDescent="0.3">
      <c r="A18" s="1">
        <v>40817</v>
      </c>
      <c r="B18">
        <v>29.91</v>
      </c>
      <c r="C18">
        <v>35.36</v>
      </c>
      <c r="D18">
        <v>28.64</v>
      </c>
      <c r="E18">
        <v>33.07</v>
      </c>
      <c r="F18">
        <v>20.8</v>
      </c>
      <c r="G18">
        <v>44145100</v>
      </c>
      <c r="H18" t="str">
        <f t="shared" si="0"/>
        <v>No</v>
      </c>
      <c r="I18" s="3">
        <f t="shared" si="1"/>
        <v>9.7625329815303585E-2</v>
      </c>
    </row>
    <row r="19" spans="1:9" x14ac:dyDescent="0.3">
      <c r="A19" s="1">
        <v>40848</v>
      </c>
      <c r="B19">
        <v>31.8</v>
      </c>
      <c r="C19">
        <v>33.380000000000003</v>
      </c>
      <c r="D19">
        <v>29.36</v>
      </c>
      <c r="E19">
        <v>32.380000000000003</v>
      </c>
      <c r="F19">
        <v>20.36</v>
      </c>
      <c r="G19">
        <v>37665600</v>
      </c>
      <c r="H19" t="str">
        <f t="shared" si="0"/>
        <v>No</v>
      </c>
      <c r="I19" s="3">
        <f t="shared" si="1"/>
        <v>-2.115384615384619E-2</v>
      </c>
    </row>
    <row r="20" spans="1:9" x14ac:dyDescent="0.3">
      <c r="A20" s="1">
        <v>40878</v>
      </c>
      <c r="B20">
        <v>32.24</v>
      </c>
      <c r="C20">
        <v>32.79</v>
      </c>
      <c r="D20">
        <v>29.89</v>
      </c>
      <c r="E20">
        <v>30.63</v>
      </c>
      <c r="F20">
        <v>19.260000000000002</v>
      </c>
      <c r="G20">
        <v>60691700</v>
      </c>
      <c r="H20" t="str">
        <f t="shared" si="0"/>
        <v>No</v>
      </c>
      <c r="I20" s="3">
        <f t="shared" si="1"/>
        <v>-5.4027504911591251E-2</v>
      </c>
    </row>
    <row r="21" spans="1:9" x14ac:dyDescent="0.3">
      <c r="A21" s="1">
        <v>40909</v>
      </c>
      <c r="B21">
        <v>31.26</v>
      </c>
      <c r="C21">
        <v>32.81</v>
      </c>
      <c r="D21">
        <v>30.32</v>
      </c>
      <c r="E21">
        <v>32.35</v>
      </c>
      <c r="F21">
        <v>21.05</v>
      </c>
      <c r="G21">
        <v>52800200</v>
      </c>
      <c r="H21" t="str">
        <f t="shared" si="0"/>
        <v>No</v>
      </c>
      <c r="I21" s="3">
        <f t="shared" si="1"/>
        <v>9.2938733125649042E-2</v>
      </c>
    </row>
    <row r="22" spans="1:9" x14ac:dyDescent="0.3">
      <c r="A22" s="1">
        <v>40940</v>
      </c>
      <c r="B22">
        <v>32.770000000000003</v>
      </c>
      <c r="C22">
        <v>34.5</v>
      </c>
      <c r="D22">
        <v>32.729999999999997</v>
      </c>
      <c r="E22">
        <v>33.93</v>
      </c>
      <c r="F22">
        <v>22.07</v>
      </c>
      <c r="G22">
        <v>42459100</v>
      </c>
      <c r="H22" t="str">
        <f t="shared" si="0"/>
        <v>No</v>
      </c>
      <c r="I22" s="3">
        <f t="shared" si="1"/>
        <v>4.8456057007125963E-2</v>
      </c>
    </row>
    <row r="23" spans="1:9" x14ac:dyDescent="0.3">
      <c r="A23" s="1">
        <v>40969</v>
      </c>
      <c r="B23">
        <v>34.090000000000003</v>
      </c>
      <c r="C23">
        <v>34.67</v>
      </c>
      <c r="D23">
        <v>32.619999999999997</v>
      </c>
      <c r="E23">
        <v>34.03</v>
      </c>
      <c r="F23">
        <v>22.14</v>
      </c>
      <c r="G23">
        <v>56392700</v>
      </c>
      <c r="H23" t="str">
        <f t="shared" si="0"/>
        <v>No</v>
      </c>
      <c r="I23" s="3">
        <f t="shared" si="1"/>
        <v>3.1717263253285832E-3</v>
      </c>
    </row>
    <row r="24" spans="1:9" x14ac:dyDescent="0.3">
      <c r="A24" s="1">
        <v>41000</v>
      </c>
      <c r="B24">
        <v>33.880000000000003</v>
      </c>
      <c r="C24">
        <v>34.5</v>
      </c>
      <c r="D24">
        <v>32</v>
      </c>
      <c r="E24">
        <v>33.22</v>
      </c>
      <c r="F24">
        <v>21.62</v>
      </c>
      <c r="G24">
        <v>53006900</v>
      </c>
      <c r="H24" t="str">
        <f t="shared" si="0"/>
        <v>No</v>
      </c>
      <c r="I24" s="3">
        <f t="shared" si="1"/>
        <v>-2.3486901535682003E-2</v>
      </c>
    </row>
    <row r="25" spans="1:9" x14ac:dyDescent="0.3">
      <c r="A25" s="1">
        <v>41030</v>
      </c>
      <c r="B25">
        <v>33.17</v>
      </c>
      <c r="C25">
        <v>33.51</v>
      </c>
      <c r="D25">
        <v>29.18</v>
      </c>
      <c r="E25">
        <v>29.51</v>
      </c>
      <c r="F25">
        <v>19.21</v>
      </c>
      <c r="G25">
        <v>57049000</v>
      </c>
      <c r="H25" t="str">
        <f t="shared" si="0"/>
        <v>No</v>
      </c>
      <c r="I25" s="3">
        <f t="shared" si="1"/>
        <v>-0.11147086031452358</v>
      </c>
    </row>
    <row r="26" spans="1:9" x14ac:dyDescent="0.3">
      <c r="A26" s="1">
        <v>41061</v>
      </c>
      <c r="B26">
        <v>28.99</v>
      </c>
      <c r="C26">
        <v>31.62</v>
      </c>
      <c r="D26">
        <v>28.75</v>
      </c>
      <c r="E26">
        <v>31.57</v>
      </c>
      <c r="F26">
        <v>20.55</v>
      </c>
      <c r="G26">
        <v>58550200</v>
      </c>
      <c r="H26" t="str">
        <f t="shared" si="0"/>
        <v>No</v>
      </c>
      <c r="I26" s="3">
        <f t="shared" si="1"/>
        <v>6.9755335762623716E-2</v>
      </c>
    </row>
    <row r="27" spans="1:9" x14ac:dyDescent="0.3">
      <c r="A27" s="1">
        <v>41091</v>
      </c>
      <c r="B27">
        <v>31.68</v>
      </c>
      <c r="C27">
        <v>32.14</v>
      </c>
      <c r="D27">
        <v>29.91</v>
      </c>
      <c r="E27">
        <v>31.65</v>
      </c>
      <c r="F27">
        <v>20.6</v>
      </c>
      <c r="G27">
        <v>49340500</v>
      </c>
      <c r="H27" t="str">
        <f t="shared" si="0"/>
        <v>No</v>
      </c>
      <c r="I27" s="3">
        <f t="shared" si="1"/>
        <v>2.4330900243310083E-3</v>
      </c>
    </row>
    <row r="28" spans="1:9" x14ac:dyDescent="0.3">
      <c r="A28" s="1">
        <v>41122</v>
      </c>
      <c r="B28">
        <v>31.85</v>
      </c>
      <c r="C28">
        <v>33.450000000000003</v>
      </c>
      <c r="D28">
        <v>30.98</v>
      </c>
      <c r="E28">
        <v>32.69</v>
      </c>
      <c r="F28">
        <v>21.27</v>
      </c>
      <c r="G28">
        <v>48388700</v>
      </c>
      <c r="H28" t="str">
        <f t="shared" si="0"/>
        <v>No</v>
      </c>
      <c r="I28" s="3">
        <f t="shared" si="1"/>
        <v>3.2524271844660113E-2</v>
      </c>
    </row>
    <row r="29" spans="1:9" x14ac:dyDescent="0.3">
      <c r="A29" s="1">
        <v>41153</v>
      </c>
      <c r="B29">
        <v>32.58</v>
      </c>
      <c r="C29">
        <v>35.17</v>
      </c>
      <c r="D29">
        <v>32.340000000000003</v>
      </c>
      <c r="E29">
        <v>32.880000000000003</v>
      </c>
      <c r="F29">
        <v>21.4</v>
      </c>
      <c r="G29">
        <v>47318400</v>
      </c>
      <c r="H29" t="str">
        <f t="shared" si="0"/>
        <v>No</v>
      </c>
      <c r="I29" s="3">
        <f t="shared" si="1"/>
        <v>6.11189468735307E-3</v>
      </c>
    </row>
    <row r="30" spans="1:9" x14ac:dyDescent="0.3">
      <c r="A30" s="1">
        <v>41183</v>
      </c>
      <c r="B30">
        <v>33.200000000000003</v>
      </c>
      <c r="C30">
        <v>34.24</v>
      </c>
      <c r="D30">
        <v>32.67</v>
      </c>
      <c r="E30">
        <v>33.229999999999997</v>
      </c>
      <c r="F30">
        <v>22.07</v>
      </c>
      <c r="G30">
        <v>42004600</v>
      </c>
      <c r="H30" t="str">
        <f t="shared" si="0"/>
        <v>No</v>
      </c>
      <c r="I30" s="3">
        <f t="shared" si="1"/>
        <v>3.1308411214953313E-2</v>
      </c>
    </row>
    <row r="31" spans="1:9" x14ac:dyDescent="0.3">
      <c r="A31" s="1">
        <v>41214</v>
      </c>
      <c r="B31">
        <v>33.44</v>
      </c>
      <c r="C31">
        <v>34.229999999999997</v>
      </c>
      <c r="D31">
        <v>31.98</v>
      </c>
      <c r="E31">
        <v>34.130000000000003</v>
      </c>
      <c r="F31">
        <v>22.66</v>
      </c>
      <c r="G31">
        <v>56865500</v>
      </c>
      <c r="H31" t="str">
        <f t="shared" si="0"/>
        <v>No</v>
      </c>
      <c r="I31" s="3">
        <f t="shared" si="1"/>
        <v>2.6733121884911615E-2</v>
      </c>
    </row>
    <row r="32" spans="1:9" x14ac:dyDescent="0.3">
      <c r="A32" s="1">
        <v>41244</v>
      </c>
      <c r="B32">
        <v>34.25</v>
      </c>
      <c r="C32">
        <v>35.58</v>
      </c>
      <c r="D32">
        <v>34.119999999999997</v>
      </c>
      <c r="E32">
        <v>35.229999999999997</v>
      </c>
      <c r="F32">
        <v>23.4</v>
      </c>
      <c r="G32">
        <v>67586700</v>
      </c>
      <c r="H32" t="str">
        <f t="shared" si="0"/>
        <v>No</v>
      </c>
      <c r="I32" s="3">
        <f t="shared" si="1"/>
        <v>3.2656663724624835E-2</v>
      </c>
    </row>
    <row r="33" spans="1:9" x14ac:dyDescent="0.3">
      <c r="A33" s="1">
        <v>41275</v>
      </c>
      <c r="B33">
        <v>35.81</v>
      </c>
      <c r="C33">
        <v>36.85</v>
      </c>
      <c r="D33">
        <v>35.159999999999997</v>
      </c>
      <c r="E33">
        <v>36.58</v>
      </c>
      <c r="F33">
        <v>24.53</v>
      </c>
      <c r="G33">
        <v>64102600</v>
      </c>
      <c r="H33" t="str">
        <f t="shared" si="0"/>
        <v>No</v>
      </c>
      <c r="I33" s="3">
        <f t="shared" si="1"/>
        <v>4.8290598290598341E-2</v>
      </c>
    </row>
    <row r="34" spans="1:9" x14ac:dyDescent="0.3">
      <c r="A34" s="1">
        <v>41306</v>
      </c>
      <c r="B34">
        <v>36.83</v>
      </c>
      <c r="C34">
        <v>36.97</v>
      </c>
      <c r="D34">
        <v>35.43</v>
      </c>
      <c r="E34">
        <v>36.159999999999997</v>
      </c>
      <c r="F34">
        <v>24.25</v>
      </c>
      <c r="G34">
        <v>77243200</v>
      </c>
      <c r="H34" t="str">
        <f t="shared" ref="H34:H65" si="2">IF(ISNUMBER(SEARCH("Dividend",B34)),"Yes","No")</f>
        <v>No</v>
      </c>
      <c r="I34" s="3">
        <f t="shared" si="1"/>
        <v>-1.1414594374235643E-2</v>
      </c>
    </row>
    <row r="35" spans="1:9" x14ac:dyDescent="0.3">
      <c r="A35" s="1">
        <v>41334</v>
      </c>
      <c r="B35">
        <v>35.94</v>
      </c>
      <c r="C35">
        <v>37.25</v>
      </c>
      <c r="D35">
        <v>35.79</v>
      </c>
      <c r="E35">
        <v>36.43</v>
      </c>
      <c r="F35">
        <v>24.43</v>
      </c>
      <c r="G35">
        <v>67704800</v>
      </c>
      <c r="H35" t="str">
        <f t="shared" si="2"/>
        <v>No</v>
      </c>
      <c r="I35" s="3">
        <f t="shared" si="1"/>
        <v>7.4226804123711521E-3</v>
      </c>
    </row>
    <row r="36" spans="1:9" x14ac:dyDescent="0.3">
      <c r="A36" s="1">
        <v>41365</v>
      </c>
      <c r="B36">
        <v>36.25</v>
      </c>
      <c r="C36">
        <v>38.33</v>
      </c>
      <c r="D36">
        <v>35.92</v>
      </c>
      <c r="E36">
        <v>38.33</v>
      </c>
      <c r="F36">
        <v>25.82</v>
      </c>
      <c r="G36">
        <v>60862700</v>
      </c>
      <c r="H36" t="str">
        <f t="shared" si="2"/>
        <v>No</v>
      </c>
      <c r="I36" s="3">
        <f t="shared" si="1"/>
        <v>5.6897257470323481E-2</v>
      </c>
    </row>
    <row r="37" spans="1:9" x14ac:dyDescent="0.3">
      <c r="A37" s="1">
        <v>41395</v>
      </c>
      <c r="B37">
        <v>38.32</v>
      </c>
      <c r="C37">
        <v>39.67</v>
      </c>
      <c r="D37">
        <v>37.18</v>
      </c>
      <c r="E37">
        <v>37.19</v>
      </c>
      <c r="F37">
        <v>25.05</v>
      </c>
      <c r="G37">
        <v>57571400</v>
      </c>
      <c r="H37" t="str">
        <f t="shared" si="2"/>
        <v>No</v>
      </c>
      <c r="I37" s="3">
        <f t="shared" si="1"/>
        <v>-2.9821843532145564E-2</v>
      </c>
    </row>
    <row r="38" spans="1:9" x14ac:dyDescent="0.3">
      <c r="A38" s="1">
        <v>41426</v>
      </c>
      <c r="B38">
        <v>37.19</v>
      </c>
      <c r="C38">
        <v>37.83</v>
      </c>
      <c r="D38">
        <v>34.33</v>
      </c>
      <c r="E38">
        <v>35.6</v>
      </c>
      <c r="F38">
        <v>23.98</v>
      </c>
      <c r="G38">
        <v>64042900</v>
      </c>
      <c r="H38" t="str">
        <f t="shared" si="2"/>
        <v>No</v>
      </c>
      <c r="I38" s="3">
        <f t="shared" si="1"/>
        <v>-4.2714570858283452E-2</v>
      </c>
    </row>
    <row r="39" spans="1:9" x14ac:dyDescent="0.3">
      <c r="A39" s="1">
        <v>41456</v>
      </c>
      <c r="B39">
        <v>35.979999999999997</v>
      </c>
      <c r="C39">
        <v>38.1</v>
      </c>
      <c r="D39">
        <v>35.42</v>
      </c>
      <c r="E39">
        <v>37.450000000000003</v>
      </c>
      <c r="F39">
        <v>25.62</v>
      </c>
      <c r="G39">
        <v>68527700</v>
      </c>
      <c r="H39" t="str">
        <f t="shared" si="2"/>
        <v>No</v>
      </c>
      <c r="I39" s="3">
        <f t="shared" si="1"/>
        <v>6.8390325271059149E-2</v>
      </c>
    </row>
    <row r="40" spans="1:9" x14ac:dyDescent="0.3">
      <c r="A40" s="1">
        <v>41487</v>
      </c>
      <c r="B40">
        <v>37.93</v>
      </c>
      <c r="C40">
        <v>38.590000000000003</v>
      </c>
      <c r="D40">
        <v>36.82</v>
      </c>
      <c r="E40">
        <v>36.85</v>
      </c>
      <c r="F40">
        <v>25.21</v>
      </c>
      <c r="G40">
        <v>70916200</v>
      </c>
      <c r="H40" t="str">
        <f t="shared" si="2"/>
        <v>No</v>
      </c>
      <c r="I40" s="3">
        <f t="shared" si="1"/>
        <v>-1.6003122560499627E-2</v>
      </c>
    </row>
    <row r="41" spans="1:9" x14ac:dyDescent="0.3">
      <c r="A41" s="1">
        <v>41518</v>
      </c>
      <c r="B41">
        <v>37.71</v>
      </c>
      <c r="C41">
        <v>40.590000000000003</v>
      </c>
      <c r="D41">
        <v>37.39</v>
      </c>
      <c r="E41">
        <v>39.58</v>
      </c>
      <c r="F41">
        <v>27.07</v>
      </c>
      <c r="G41">
        <v>72697200</v>
      </c>
      <c r="H41" t="str">
        <f t="shared" si="2"/>
        <v>No</v>
      </c>
      <c r="I41" s="3">
        <f t="shared" si="1"/>
        <v>7.3780245934152999E-2</v>
      </c>
    </row>
    <row r="42" spans="1:9" x14ac:dyDescent="0.3">
      <c r="A42" s="1">
        <v>41548</v>
      </c>
      <c r="B42">
        <v>39.619999999999997</v>
      </c>
      <c r="C42">
        <v>41.56</v>
      </c>
      <c r="D42">
        <v>38.840000000000003</v>
      </c>
      <c r="E42">
        <v>40.85</v>
      </c>
      <c r="F42">
        <v>28.06</v>
      </c>
      <c r="G42">
        <v>80166100</v>
      </c>
      <c r="H42" t="str">
        <f t="shared" si="2"/>
        <v>No</v>
      </c>
      <c r="I42" s="3">
        <f t="shared" si="1"/>
        <v>3.6571850757295854E-2</v>
      </c>
    </row>
    <row r="43" spans="1:9" x14ac:dyDescent="0.3">
      <c r="A43" s="1">
        <v>41579</v>
      </c>
      <c r="B43">
        <v>40.65</v>
      </c>
      <c r="C43">
        <v>41.32</v>
      </c>
      <c r="D43">
        <v>40.04</v>
      </c>
      <c r="E43">
        <v>41.12</v>
      </c>
      <c r="F43">
        <v>28.24</v>
      </c>
      <c r="G43">
        <v>64108000</v>
      </c>
      <c r="H43" t="str">
        <f t="shared" si="2"/>
        <v>No</v>
      </c>
      <c r="I43" s="3">
        <f t="shared" si="1"/>
        <v>6.4148253741982408E-3</v>
      </c>
    </row>
    <row r="44" spans="1:9" x14ac:dyDescent="0.3">
      <c r="A44" s="1">
        <v>41609</v>
      </c>
      <c r="B44">
        <v>40.99</v>
      </c>
      <c r="C44">
        <v>41.88</v>
      </c>
      <c r="D44">
        <v>39.630000000000003</v>
      </c>
      <c r="E44">
        <v>41.68</v>
      </c>
      <c r="F44">
        <v>28.63</v>
      </c>
      <c r="G44">
        <v>68063300</v>
      </c>
      <c r="H44" t="str">
        <f t="shared" si="2"/>
        <v>No</v>
      </c>
      <c r="I44" s="3">
        <f t="shared" si="1"/>
        <v>1.3810198300283405E-2</v>
      </c>
    </row>
    <row r="45" spans="1:9" x14ac:dyDescent="0.3">
      <c r="A45" s="1">
        <v>41640</v>
      </c>
      <c r="B45">
        <v>41.22</v>
      </c>
      <c r="C45">
        <v>41.7</v>
      </c>
      <c r="D45">
        <v>39.31</v>
      </c>
      <c r="E45">
        <v>39.51</v>
      </c>
      <c r="F45">
        <v>27.28</v>
      </c>
      <c r="G45">
        <v>69441900</v>
      </c>
      <c r="H45" t="str">
        <f t="shared" si="2"/>
        <v>No</v>
      </c>
      <c r="I45" s="3">
        <f t="shared" si="1"/>
        <v>-4.7153335661893059E-2</v>
      </c>
    </row>
    <row r="46" spans="1:9" x14ac:dyDescent="0.3">
      <c r="A46" s="1">
        <v>41671</v>
      </c>
      <c r="B46">
        <v>39.47</v>
      </c>
      <c r="C46">
        <v>42.07</v>
      </c>
      <c r="D46">
        <v>38.72</v>
      </c>
      <c r="E46">
        <v>41.86</v>
      </c>
      <c r="F46">
        <v>28.9</v>
      </c>
      <c r="G46">
        <v>69042200</v>
      </c>
      <c r="H46" t="str">
        <f t="shared" si="2"/>
        <v>No</v>
      </c>
      <c r="I46" s="3">
        <f t="shared" si="1"/>
        <v>5.9384164222873848E-2</v>
      </c>
    </row>
    <row r="47" spans="1:9" x14ac:dyDescent="0.3">
      <c r="A47" s="1">
        <v>41699</v>
      </c>
      <c r="B47">
        <v>41.18</v>
      </c>
      <c r="C47">
        <v>42.3</v>
      </c>
      <c r="D47">
        <v>40.17</v>
      </c>
      <c r="E47">
        <v>41.27</v>
      </c>
      <c r="F47">
        <v>28.5</v>
      </c>
      <c r="G47">
        <v>71154000</v>
      </c>
      <c r="H47" t="str">
        <f t="shared" si="2"/>
        <v>No</v>
      </c>
      <c r="I47" s="3">
        <f t="shared" si="1"/>
        <v>-1.384083044982698E-2</v>
      </c>
    </row>
    <row r="48" spans="1:9" x14ac:dyDescent="0.3">
      <c r="A48" s="1">
        <v>41730</v>
      </c>
      <c r="B48">
        <v>41.48</v>
      </c>
      <c r="C48">
        <v>41.96</v>
      </c>
      <c r="D48">
        <v>40.380000000000003</v>
      </c>
      <c r="E48">
        <v>41.92</v>
      </c>
      <c r="F48">
        <v>29.25</v>
      </c>
      <c r="G48">
        <v>86403500</v>
      </c>
      <c r="H48" t="str">
        <f t="shared" si="2"/>
        <v>No</v>
      </c>
      <c r="I48" s="3">
        <f t="shared" si="1"/>
        <v>2.6315789473684292E-2</v>
      </c>
    </row>
    <row r="49" spans="1:9" x14ac:dyDescent="0.3">
      <c r="A49" s="1">
        <v>41760</v>
      </c>
      <c r="B49">
        <v>42.18</v>
      </c>
      <c r="C49">
        <v>42.67</v>
      </c>
      <c r="D49">
        <v>41.61</v>
      </c>
      <c r="E49">
        <v>42.66</v>
      </c>
      <c r="F49">
        <v>29.77</v>
      </c>
      <c r="G49">
        <v>57971400</v>
      </c>
      <c r="H49" t="str">
        <f t="shared" si="2"/>
        <v>No</v>
      </c>
      <c r="I49" s="3">
        <f t="shared" si="1"/>
        <v>1.777777777777767E-2</v>
      </c>
    </row>
    <row r="50" spans="1:9" x14ac:dyDescent="0.3">
      <c r="A50" s="1">
        <v>41791</v>
      </c>
      <c r="B50">
        <v>42.77</v>
      </c>
      <c r="C50">
        <v>43.48</v>
      </c>
      <c r="D50">
        <v>42.14</v>
      </c>
      <c r="E50">
        <v>42.59</v>
      </c>
      <c r="F50">
        <v>29.72</v>
      </c>
      <c r="G50">
        <v>65006200</v>
      </c>
      <c r="H50" t="str">
        <f t="shared" si="2"/>
        <v>No</v>
      </c>
      <c r="I50" s="3">
        <f t="shared" si="1"/>
        <v>-1.6795431642593339E-3</v>
      </c>
    </row>
    <row r="51" spans="1:9" x14ac:dyDescent="0.3">
      <c r="A51" s="1">
        <v>41821</v>
      </c>
      <c r="B51">
        <v>42.82</v>
      </c>
      <c r="C51">
        <v>43.15</v>
      </c>
      <c r="D51">
        <v>41.55</v>
      </c>
      <c r="E51">
        <v>41.58</v>
      </c>
      <c r="F51">
        <v>29.37</v>
      </c>
      <c r="G51">
        <v>63698700</v>
      </c>
      <c r="H51" t="str">
        <f t="shared" si="2"/>
        <v>No</v>
      </c>
      <c r="I51" s="3">
        <f t="shared" si="1"/>
        <v>-1.1776581426648614E-2</v>
      </c>
    </row>
    <row r="52" spans="1:9" x14ac:dyDescent="0.3">
      <c r="A52" s="1">
        <v>41852</v>
      </c>
      <c r="B52">
        <v>41.43</v>
      </c>
      <c r="C52">
        <v>41.97</v>
      </c>
      <c r="D52">
        <v>40.43</v>
      </c>
      <c r="E52">
        <v>41.69</v>
      </c>
      <c r="F52">
        <v>29.44</v>
      </c>
      <c r="G52">
        <v>60564000</v>
      </c>
      <c r="H52" t="str">
        <f t="shared" si="2"/>
        <v>No</v>
      </c>
      <c r="I52" s="3">
        <f t="shared" si="1"/>
        <v>2.3833844058562814E-3</v>
      </c>
    </row>
    <row r="53" spans="1:9" x14ac:dyDescent="0.3">
      <c r="A53" s="1">
        <v>41883</v>
      </c>
      <c r="B53">
        <v>41.76</v>
      </c>
      <c r="C53">
        <v>42.11</v>
      </c>
      <c r="D53">
        <v>39.619999999999997</v>
      </c>
      <c r="E53">
        <v>39.75</v>
      </c>
      <c r="F53">
        <v>28.07</v>
      </c>
      <c r="G53">
        <v>59497000</v>
      </c>
      <c r="H53" t="str">
        <f t="shared" si="2"/>
        <v>No</v>
      </c>
      <c r="I53" s="3">
        <f t="shared" si="1"/>
        <v>-4.6535326086956541E-2</v>
      </c>
    </row>
    <row r="54" spans="1:9" x14ac:dyDescent="0.3">
      <c r="A54" s="1">
        <v>41913</v>
      </c>
      <c r="B54">
        <v>39.520000000000003</v>
      </c>
      <c r="C54">
        <v>39.64</v>
      </c>
      <c r="D54">
        <v>36.36</v>
      </c>
      <c r="E54">
        <v>39.61</v>
      </c>
      <c r="F54">
        <v>28.12</v>
      </c>
      <c r="G54">
        <v>120639900</v>
      </c>
      <c r="H54" t="str">
        <f t="shared" si="2"/>
        <v>No</v>
      </c>
      <c r="I54" s="3">
        <f t="shared" si="1"/>
        <v>1.7812611328820172E-3</v>
      </c>
    </row>
    <row r="55" spans="1:9" x14ac:dyDescent="0.3">
      <c r="A55" s="1">
        <v>41944</v>
      </c>
      <c r="B55">
        <v>39.380000000000003</v>
      </c>
      <c r="C55">
        <v>39.94</v>
      </c>
      <c r="D55">
        <v>38.659999999999997</v>
      </c>
      <c r="E55">
        <v>39.61</v>
      </c>
      <c r="F55">
        <v>28.12</v>
      </c>
      <c r="G55">
        <v>62672100</v>
      </c>
      <c r="H55" t="str">
        <f t="shared" si="2"/>
        <v>No</v>
      </c>
      <c r="I55" s="3">
        <f t="shared" si="1"/>
        <v>0</v>
      </c>
    </row>
    <row r="56" spans="1:9" x14ac:dyDescent="0.3">
      <c r="A56" s="1">
        <v>41974</v>
      </c>
      <c r="B56">
        <v>39.64</v>
      </c>
      <c r="C56">
        <v>39.71</v>
      </c>
      <c r="D56">
        <v>37.090000000000003</v>
      </c>
      <c r="E56">
        <v>37.880000000000003</v>
      </c>
      <c r="F56">
        <v>26.89</v>
      </c>
      <c r="G56">
        <v>160807600</v>
      </c>
      <c r="H56" t="str">
        <f t="shared" si="2"/>
        <v>No</v>
      </c>
      <c r="I56" s="3">
        <f t="shared" si="1"/>
        <v>-4.3741109530583189E-2</v>
      </c>
    </row>
    <row r="57" spans="1:9" x14ac:dyDescent="0.3">
      <c r="A57" s="1">
        <v>42005</v>
      </c>
      <c r="B57">
        <v>37.950000000000003</v>
      </c>
      <c r="C57">
        <v>38.89</v>
      </c>
      <c r="D57">
        <v>36.31</v>
      </c>
      <c r="E57">
        <v>38.15</v>
      </c>
      <c r="F57">
        <v>27.25</v>
      </c>
      <c r="G57">
        <v>123768200</v>
      </c>
      <c r="H57" t="str">
        <f t="shared" si="2"/>
        <v>No</v>
      </c>
      <c r="I57" s="3">
        <f t="shared" si="1"/>
        <v>1.3387876534027399E-2</v>
      </c>
    </row>
    <row r="58" spans="1:9" x14ac:dyDescent="0.3">
      <c r="A58" s="1">
        <v>42036</v>
      </c>
      <c r="B58">
        <v>38.44</v>
      </c>
      <c r="C58">
        <v>40.65</v>
      </c>
      <c r="D58">
        <v>38.299999999999997</v>
      </c>
      <c r="E58">
        <v>40.5</v>
      </c>
      <c r="F58">
        <v>28.93</v>
      </c>
      <c r="G58">
        <v>129283300</v>
      </c>
      <c r="H58" t="str">
        <f t="shared" si="2"/>
        <v>No</v>
      </c>
      <c r="I58" s="3">
        <f t="shared" si="1"/>
        <v>6.165137614678895E-2</v>
      </c>
    </row>
    <row r="59" spans="1:9" x14ac:dyDescent="0.3">
      <c r="A59" s="1">
        <v>42064</v>
      </c>
      <c r="B59">
        <v>40.520000000000003</v>
      </c>
      <c r="C59">
        <v>41.21</v>
      </c>
      <c r="D59">
        <v>38.86</v>
      </c>
      <c r="E59">
        <v>39.83</v>
      </c>
      <c r="F59">
        <v>28.45</v>
      </c>
      <c r="G59">
        <v>108856900</v>
      </c>
      <c r="H59" t="str">
        <f t="shared" si="2"/>
        <v>No</v>
      </c>
      <c r="I59" s="3">
        <f t="shared" si="1"/>
        <v>-1.6591773245765662E-2</v>
      </c>
    </row>
    <row r="60" spans="1:9" x14ac:dyDescent="0.3">
      <c r="A60" s="1">
        <v>42095</v>
      </c>
      <c r="B60">
        <v>40.049999999999997</v>
      </c>
      <c r="C60">
        <v>42.29</v>
      </c>
      <c r="D60">
        <v>39.83</v>
      </c>
      <c r="E60">
        <v>41.37</v>
      </c>
      <c r="F60">
        <v>29.69</v>
      </c>
      <c r="G60">
        <v>110143200</v>
      </c>
      <c r="H60" t="str">
        <f t="shared" si="2"/>
        <v>No</v>
      </c>
      <c r="I60" s="3">
        <f t="shared" si="1"/>
        <v>4.3585237258348064E-2</v>
      </c>
    </row>
    <row r="61" spans="1:9" x14ac:dyDescent="0.3">
      <c r="A61" s="1">
        <v>42125</v>
      </c>
      <c r="B61">
        <v>41.59</v>
      </c>
      <c r="C61">
        <v>42.51</v>
      </c>
      <c r="D61">
        <v>40.89</v>
      </c>
      <c r="E61">
        <v>41.35</v>
      </c>
      <c r="F61">
        <v>29.67</v>
      </c>
      <c r="G61">
        <v>70154500</v>
      </c>
      <c r="H61" t="str">
        <f t="shared" si="2"/>
        <v>No</v>
      </c>
      <c r="I61" s="3">
        <f t="shared" si="1"/>
        <v>-6.7362748400134898E-4</v>
      </c>
    </row>
    <row r="62" spans="1:9" x14ac:dyDescent="0.3">
      <c r="A62" s="1">
        <v>42156</v>
      </c>
      <c r="B62">
        <v>41.46</v>
      </c>
      <c r="C62">
        <v>41.96</v>
      </c>
      <c r="D62">
        <v>39.51</v>
      </c>
      <c r="E62">
        <v>39.65</v>
      </c>
      <c r="F62">
        <v>28.45</v>
      </c>
      <c r="G62">
        <v>98757400</v>
      </c>
      <c r="H62" t="str">
        <f t="shared" si="2"/>
        <v>No</v>
      </c>
      <c r="I62" s="3">
        <f t="shared" si="1"/>
        <v>-4.111897539602305E-2</v>
      </c>
    </row>
    <row r="63" spans="1:9" x14ac:dyDescent="0.3">
      <c r="A63" s="1">
        <v>42186</v>
      </c>
      <c r="B63">
        <v>40.119999999999997</v>
      </c>
      <c r="C63">
        <v>40.770000000000003</v>
      </c>
      <c r="D63">
        <v>38.17</v>
      </c>
      <c r="E63">
        <v>40.229999999999997</v>
      </c>
      <c r="F63">
        <v>29.23</v>
      </c>
      <c r="G63">
        <v>117231500</v>
      </c>
      <c r="H63" t="str">
        <f t="shared" si="2"/>
        <v>No</v>
      </c>
      <c r="I63" s="3">
        <f t="shared" si="1"/>
        <v>2.7416520210896245E-2</v>
      </c>
    </row>
    <row r="64" spans="1:9" x14ac:dyDescent="0.3">
      <c r="A64" s="1">
        <v>42217</v>
      </c>
      <c r="B64">
        <v>40.25</v>
      </c>
      <c r="C64">
        <v>40.64</v>
      </c>
      <c r="D64">
        <v>35.11</v>
      </c>
      <c r="E64">
        <v>37.32</v>
      </c>
      <c r="F64">
        <v>27.11</v>
      </c>
      <c r="G64">
        <v>173660600</v>
      </c>
      <c r="H64" t="str">
        <f t="shared" si="2"/>
        <v>No</v>
      </c>
      <c r="I64" s="3">
        <f t="shared" si="1"/>
        <v>-7.252822442695861E-2</v>
      </c>
    </row>
    <row r="65" spans="1:9" x14ac:dyDescent="0.3">
      <c r="A65" s="1">
        <v>42248</v>
      </c>
      <c r="B65">
        <v>36.32</v>
      </c>
      <c r="C65">
        <v>38.01</v>
      </c>
      <c r="D65">
        <v>34.71</v>
      </c>
      <c r="E65">
        <v>35.64</v>
      </c>
      <c r="F65">
        <v>25.89</v>
      </c>
      <c r="G65">
        <v>166743100</v>
      </c>
      <c r="H65" t="str">
        <f t="shared" si="2"/>
        <v>No</v>
      </c>
      <c r="I65" s="3">
        <f t="shared" si="1"/>
        <v>-4.5001844337882679E-2</v>
      </c>
    </row>
    <row r="66" spans="1:9" x14ac:dyDescent="0.3">
      <c r="A66" s="1">
        <v>42278</v>
      </c>
      <c r="B66">
        <v>35.840000000000003</v>
      </c>
      <c r="C66">
        <v>38.700000000000003</v>
      </c>
      <c r="D66">
        <v>35.44</v>
      </c>
      <c r="E66">
        <v>38.04</v>
      </c>
      <c r="F66">
        <v>27.76</v>
      </c>
      <c r="G66">
        <v>117211800</v>
      </c>
      <c r="H66" t="str">
        <f t="shared" ref="H66:H97" si="3">IF(ISNUMBER(SEARCH("Dividend",B66)),"Yes","No")</f>
        <v>No</v>
      </c>
      <c r="I66" s="3">
        <f t="shared" si="1"/>
        <v>7.2228659714175469E-2</v>
      </c>
    </row>
    <row r="67" spans="1:9" x14ac:dyDescent="0.3">
      <c r="A67" s="1">
        <v>42309</v>
      </c>
      <c r="B67">
        <v>38.229999999999997</v>
      </c>
      <c r="C67">
        <v>38.5</v>
      </c>
      <c r="D67">
        <v>36.869999999999997</v>
      </c>
      <c r="E67">
        <v>37.75</v>
      </c>
      <c r="F67">
        <v>27.55</v>
      </c>
      <c r="G67">
        <v>107589700</v>
      </c>
      <c r="H67" t="str">
        <f t="shared" si="3"/>
        <v>No</v>
      </c>
      <c r="I67" s="3">
        <f t="shared" si="1"/>
        <v>-7.5648414985590717E-3</v>
      </c>
    </row>
    <row r="68" spans="1:9" x14ac:dyDescent="0.3">
      <c r="A68" s="1">
        <v>42339</v>
      </c>
      <c r="B68">
        <v>38.04</v>
      </c>
      <c r="C68">
        <v>38.17</v>
      </c>
      <c r="D68">
        <v>35.92</v>
      </c>
      <c r="E68">
        <v>36.72</v>
      </c>
      <c r="F68">
        <v>26.8</v>
      </c>
      <c r="G68">
        <v>257179000</v>
      </c>
      <c r="H68" t="str">
        <f t="shared" si="3"/>
        <v>No</v>
      </c>
      <c r="I68" s="3">
        <f t="shared" ref="I68:I131" si="4">(F68/F67)-1</f>
        <v>-2.722323049001818E-2</v>
      </c>
    </row>
    <row r="69" spans="1:9" x14ac:dyDescent="0.3">
      <c r="A69" s="1">
        <v>42370</v>
      </c>
      <c r="B69">
        <v>36.11</v>
      </c>
      <c r="C69">
        <v>36.17</v>
      </c>
      <c r="D69">
        <v>32.22</v>
      </c>
      <c r="E69">
        <v>34.69</v>
      </c>
      <c r="F69">
        <v>25.47</v>
      </c>
      <c r="G69">
        <v>267420100</v>
      </c>
      <c r="H69" t="str">
        <f t="shared" si="3"/>
        <v>No</v>
      </c>
      <c r="I69" s="3">
        <f t="shared" si="4"/>
        <v>-4.9626865671641873E-2</v>
      </c>
    </row>
    <row r="70" spans="1:9" x14ac:dyDescent="0.3">
      <c r="A70" s="1">
        <v>42401</v>
      </c>
      <c r="B70">
        <v>34.4</v>
      </c>
      <c r="C70">
        <v>34.75</v>
      </c>
      <c r="D70">
        <v>31.95</v>
      </c>
      <c r="E70">
        <v>33.619999999999997</v>
      </c>
      <c r="F70">
        <v>24.68</v>
      </c>
      <c r="G70">
        <v>219905100</v>
      </c>
      <c r="H70" t="str">
        <f t="shared" si="3"/>
        <v>No</v>
      </c>
      <c r="I70" s="3">
        <f t="shared" si="4"/>
        <v>-3.1016882606988538E-2</v>
      </c>
    </row>
    <row r="71" spans="1:9" x14ac:dyDescent="0.3">
      <c r="A71" s="1">
        <v>42430</v>
      </c>
      <c r="B71">
        <v>34.090000000000003</v>
      </c>
      <c r="C71">
        <v>36.4</v>
      </c>
      <c r="D71">
        <v>34.03</v>
      </c>
      <c r="E71">
        <v>35.880000000000003</v>
      </c>
      <c r="F71">
        <v>26.34</v>
      </c>
      <c r="G71">
        <v>167520100</v>
      </c>
      <c r="H71" t="str">
        <f t="shared" si="3"/>
        <v>No</v>
      </c>
      <c r="I71" s="3">
        <f t="shared" si="4"/>
        <v>6.7260940032414895E-2</v>
      </c>
    </row>
    <row r="72" spans="1:9" x14ac:dyDescent="0.3">
      <c r="A72" s="1">
        <v>42461</v>
      </c>
      <c r="B72">
        <v>35.15</v>
      </c>
      <c r="C72">
        <v>37.700000000000003</v>
      </c>
      <c r="D72">
        <v>34.67</v>
      </c>
      <c r="E72">
        <v>36.71</v>
      </c>
      <c r="F72">
        <v>27.07</v>
      </c>
      <c r="G72">
        <v>128147200</v>
      </c>
      <c r="H72" t="str">
        <f t="shared" si="3"/>
        <v>No</v>
      </c>
      <c r="I72" s="3">
        <f t="shared" si="4"/>
        <v>2.7714502657555151E-2</v>
      </c>
    </row>
    <row r="73" spans="1:9" x14ac:dyDescent="0.3">
      <c r="A73" s="1">
        <v>42491</v>
      </c>
      <c r="B73">
        <v>37.01</v>
      </c>
      <c r="C73">
        <v>37.06</v>
      </c>
      <c r="D73">
        <v>35.549999999999997</v>
      </c>
      <c r="E73">
        <v>36.6</v>
      </c>
      <c r="F73">
        <v>26.99</v>
      </c>
      <c r="G73">
        <v>184028000</v>
      </c>
      <c r="H73" t="str">
        <f t="shared" si="3"/>
        <v>No</v>
      </c>
      <c r="I73" s="3">
        <f t="shared" si="4"/>
        <v>-2.955301071296712E-3</v>
      </c>
    </row>
    <row r="74" spans="1:9" x14ac:dyDescent="0.3">
      <c r="A74" s="1">
        <v>42522</v>
      </c>
      <c r="B74">
        <v>36.46</v>
      </c>
      <c r="C74">
        <v>37.64</v>
      </c>
      <c r="D74">
        <v>33.01</v>
      </c>
      <c r="E74">
        <v>35.36</v>
      </c>
      <c r="F74">
        <v>26.08</v>
      </c>
      <c r="G74">
        <v>246614700</v>
      </c>
      <c r="H74" t="str">
        <f t="shared" si="3"/>
        <v>No</v>
      </c>
      <c r="I74" s="3">
        <f t="shared" si="4"/>
        <v>-3.3716191181919264E-2</v>
      </c>
    </row>
    <row r="75" spans="1:9" x14ac:dyDescent="0.3">
      <c r="A75" s="1">
        <v>42552</v>
      </c>
      <c r="B75">
        <v>35.39</v>
      </c>
      <c r="C75">
        <v>36.909999999999997</v>
      </c>
      <c r="D75">
        <v>34.17</v>
      </c>
      <c r="E75">
        <v>36.83</v>
      </c>
      <c r="F75">
        <v>27.53</v>
      </c>
      <c r="G75">
        <v>138761000</v>
      </c>
      <c r="H75" t="str">
        <f t="shared" si="3"/>
        <v>No</v>
      </c>
      <c r="I75" s="3">
        <f t="shared" si="4"/>
        <v>5.5598159509202549E-2</v>
      </c>
    </row>
    <row r="76" spans="1:9" x14ac:dyDescent="0.3">
      <c r="A76" s="1">
        <v>42583</v>
      </c>
      <c r="B76">
        <v>36.770000000000003</v>
      </c>
      <c r="C76">
        <v>37.700000000000003</v>
      </c>
      <c r="D76">
        <v>36.1</v>
      </c>
      <c r="E76">
        <v>36.979999999999997</v>
      </c>
      <c r="F76">
        <v>27.65</v>
      </c>
      <c r="G76">
        <v>140754800</v>
      </c>
      <c r="H76" t="str">
        <f t="shared" si="3"/>
        <v>No</v>
      </c>
      <c r="I76" s="3">
        <f t="shared" si="4"/>
        <v>4.3588812204866656E-3</v>
      </c>
    </row>
    <row r="77" spans="1:9" x14ac:dyDescent="0.3">
      <c r="A77" s="1">
        <v>42614</v>
      </c>
      <c r="B77">
        <v>37.18</v>
      </c>
      <c r="C77">
        <v>38.18</v>
      </c>
      <c r="D77">
        <v>36.26</v>
      </c>
      <c r="E77">
        <v>37.409999999999997</v>
      </c>
      <c r="F77">
        <v>27.97</v>
      </c>
      <c r="G77">
        <v>147476700</v>
      </c>
      <c r="H77" t="str">
        <f t="shared" si="3"/>
        <v>No</v>
      </c>
      <c r="I77" s="3">
        <f t="shared" si="4"/>
        <v>1.1573236889692584E-2</v>
      </c>
    </row>
    <row r="78" spans="1:9" x14ac:dyDescent="0.3">
      <c r="A78" s="1">
        <v>42644</v>
      </c>
      <c r="B78">
        <v>37.35</v>
      </c>
      <c r="C78">
        <v>37.53</v>
      </c>
      <c r="D78">
        <v>36.07</v>
      </c>
      <c r="E78">
        <v>36.51</v>
      </c>
      <c r="F78">
        <v>27.42</v>
      </c>
      <c r="G78">
        <v>143375500</v>
      </c>
      <c r="H78" t="str">
        <f t="shared" si="3"/>
        <v>No</v>
      </c>
      <c r="I78" s="3">
        <f t="shared" si="4"/>
        <v>-1.9663925634608392E-2</v>
      </c>
    </row>
    <row r="79" spans="1:9" x14ac:dyDescent="0.3">
      <c r="A79" s="1">
        <v>42675</v>
      </c>
      <c r="B79">
        <v>36.67</v>
      </c>
      <c r="C79">
        <v>36.67</v>
      </c>
      <c r="D79">
        <v>35.520000000000003</v>
      </c>
      <c r="E79">
        <v>35.96</v>
      </c>
      <c r="F79">
        <v>27.01</v>
      </c>
      <c r="G79">
        <v>157906300</v>
      </c>
      <c r="H79" t="str">
        <f t="shared" si="3"/>
        <v>No</v>
      </c>
      <c r="I79" s="3">
        <f t="shared" si="4"/>
        <v>-1.4952589350838763E-2</v>
      </c>
    </row>
    <row r="80" spans="1:9" x14ac:dyDescent="0.3">
      <c r="A80" s="1">
        <v>42705</v>
      </c>
      <c r="B80">
        <v>35.97</v>
      </c>
      <c r="C80">
        <v>37.46</v>
      </c>
      <c r="D80">
        <v>35.799999999999997</v>
      </c>
      <c r="E80">
        <v>36.54</v>
      </c>
      <c r="F80">
        <v>27.44</v>
      </c>
      <c r="G80">
        <v>201802000</v>
      </c>
      <c r="H80" t="str">
        <f t="shared" si="3"/>
        <v>No</v>
      </c>
      <c r="I80" s="3">
        <f t="shared" si="4"/>
        <v>1.5920029618659681E-2</v>
      </c>
    </row>
    <row r="81" spans="1:9" x14ac:dyDescent="0.3">
      <c r="A81" s="1">
        <v>42736</v>
      </c>
      <c r="B81">
        <v>36.72</v>
      </c>
      <c r="C81">
        <v>38.26</v>
      </c>
      <c r="D81">
        <v>36.65</v>
      </c>
      <c r="E81">
        <v>37.880000000000003</v>
      </c>
      <c r="F81">
        <v>28.69</v>
      </c>
      <c r="G81">
        <v>179913300</v>
      </c>
      <c r="H81" t="str">
        <f t="shared" si="3"/>
        <v>No</v>
      </c>
      <c r="I81" s="3">
        <f t="shared" si="4"/>
        <v>4.5553935860058292E-2</v>
      </c>
    </row>
    <row r="82" spans="1:9" x14ac:dyDescent="0.3">
      <c r="A82" s="1">
        <v>42767</v>
      </c>
      <c r="B82">
        <v>38.1</v>
      </c>
      <c r="C82">
        <v>38.79</v>
      </c>
      <c r="D82">
        <v>37.82</v>
      </c>
      <c r="E82">
        <v>38.28</v>
      </c>
      <c r="F82">
        <v>28.99</v>
      </c>
      <c r="G82">
        <v>133113100</v>
      </c>
      <c r="H82" t="str">
        <f t="shared" si="3"/>
        <v>No</v>
      </c>
      <c r="I82" s="3">
        <f t="shared" si="4"/>
        <v>1.0456605088881021E-2</v>
      </c>
    </row>
    <row r="83" spans="1:9" x14ac:dyDescent="0.3">
      <c r="A83" s="1">
        <v>42795</v>
      </c>
      <c r="B83">
        <v>38.520000000000003</v>
      </c>
      <c r="C83">
        <v>39.64</v>
      </c>
      <c r="D83">
        <v>38.159999999999997</v>
      </c>
      <c r="E83">
        <v>39.299999999999997</v>
      </c>
      <c r="F83">
        <v>29.76</v>
      </c>
      <c r="G83">
        <v>199052800</v>
      </c>
      <c r="H83" t="str">
        <f t="shared" si="3"/>
        <v>No</v>
      </c>
      <c r="I83" s="3">
        <f t="shared" si="4"/>
        <v>2.6560883063125429E-2</v>
      </c>
    </row>
    <row r="84" spans="1:9" x14ac:dyDescent="0.3">
      <c r="A84" s="1">
        <v>42826</v>
      </c>
      <c r="B84">
        <v>39.24</v>
      </c>
      <c r="C84">
        <v>40.33</v>
      </c>
      <c r="D84">
        <v>38.78</v>
      </c>
      <c r="E84">
        <v>40.17</v>
      </c>
      <c r="F84">
        <v>30.54</v>
      </c>
      <c r="G84">
        <v>158891100</v>
      </c>
      <c r="H84" t="str">
        <f t="shared" si="3"/>
        <v>No</v>
      </c>
      <c r="I84" s="3">
        <f t="shared" si="4"/>
        <v>2.620967741935476E-2</v>
      </c>
    </row>
    <row r="85" spans="1:9" x14ac:dyDescent="0.3">
      <c r="A85" s="1">
        <v>42856</v>
      </c>
      <c r="B85">
        <v>40.25</v>
      </c>
      <c r="C85">
        <v>41.72</v>
      </c>
      <c r="D85">
        <v>40.25</v>
      </c>
      <c r="E85">
        <v>41.54</v>
      </c>
      <c r="F85">
        <v>31.58</v>
      </c>
      <c r="G85">
        <v>182314000</v>
      </c>
      <c r="H85" t="str">
        <f t="shared" si="3"/>
        <v>No</v>
      </c>
      <c r="I85" s="3">
        <f t="shared" si="4"/>
        <v>3.4053700065487913E-2</v>
      </c>
    </row>
    <row r="86" spans="1:9" x14ac:dyDescent="0.3">
      <c r="A86" s="1">
        <v>42887</v>
      </c>
      <c r="B86">
        <v>41.69</v>
      </c>
      <c r="C86">
        <v>42.25</v>
      </c>
      <c r="D86">
        <v>40.97</v>
      </c>
      <c r="E86">
        <v>41.32</v>
      </c>
      <c r="F86">
        <v>31.41</v>
      </c>
      <c r="G86">
        <v>190162700</v>
      </c>
      <c r="H86" t="str">
        <f t="shared" si="3"/>
        <v>No</v>
      </c>
      <c r="I86" s="3">
        <f t="shared" si="4"/>
        <v>-5.3831538948700963E-3</v>
      </c>
    </row>
    <row r="87" spans="1:9" x14ac:dyDescent="0.3">
      <c r="A87" s="1">
        <v>42917</v>
      </c>
      <c r="B87">
        <v>41.29</v>
      </c>
      <c r="C87">
        <v>42.62</v>
      </c>
      <c r="D87">
        <v>40.880000000000003</v>
      </c>
      <c r="E87">
        <v>42.51</v>
      </c>
      <c r="F87">
        <v>32.69</v>
      </c>
      <c r="G87">
        <v>133976700</v>
      </c>
      <c r="H87" t="str">
        <f t="shared" si="3"/>
        <v>No</v>
      </c>
      <c r="I87" s="3">
        <f t="shared" si="4"/>
        <v>4.0751353072269847E-2</v>
      </c>
    </row>
    <row r="88" spans="1:9" x14ac:dyDescent="0.3">
      <c r="A88" s="1">
        <v>42948</v>
      </c>
      <c r="B88">
        <v>42.82</v>
      </c>
      <c r="C88">
        <v>42.86</v>
      </c>
      <c r="D88">
        <v>41.73</v>
      </c>
      <c r="E88">
        <v>42.52</v>
      </c>
      <c r="F88">
        <v>32.700000000000003</v>
      </c>
      <c r="G88">
        <v>153620000</v>
      </c>
      <c r="H88" t="str">
        <f t="shared" si="3"/>
        <v>No</v>
      </c>
      <c r="I88" s="3">
        <f t="shared" si="4"/>
        <v>3.0590394616103467E-4</v>
      </c>
    </row>
    <row r="89" spans="1:9" x14ac:dyDescent="0.3">
      <c r="A89" s="1">
        <v>42979</v>
      </c>
      <c r="B89">
        <v>42.72</v>
      </c>
      <c r="C89">
        <v>43.58</v>
      </c>
      <c r="D89">
        <v>42.16</v>
      </c>
      <c r="E89">
        <v>43.41</v>
      </c>
      <c r="F89">
        <v>33.39</v>
      </c>
      <c r="G89">
        <v>138173600</v>
      </c>
      <c r="H89" t="str">
        <f t="shared" si="3"/>
        <v>No</v>
      </c>
      <c r="I89" s="3">
        <f t="shared" si="4"/>
        <v>2.1100917431192689E-2</v>
      </c>
    </row>
    <row r="90" spans="1:9" x14ac:dyDescent="0.3">
      <c r="A90" s="1">
        <v>43009</v>
      </c>
      <c r="B90">
        <v>43.28</v>
      </c>
      <c r="C90">
        <v>44.22</v>
      </c>
      <c r="D90">
        <v>43.19</v>
      </c>
      <c r="E90">
        <v>44.18</v>
      </c>
      <c r="F90">
        <v>34.119999999999997</v>
      </c>
      <c r="G90">
        <v>132901300</v>
      </c>
      <c r="H90" t="str">
        <f t="shared" si="3"/>
        <v>No</v>
      </c>
      <c r="I90" s="3">
        <f t="shared" si="4"/>
        <v>2.1862833183587727E-2</v>
      </c>
    </row>
    <row r="91" spans="1:9" x14ac:dyDescent="0.3">
      <c r="A91" s="1">
        <v>43040</v>
      </c>
      <c r="B91">
        <v>44.4</v>
      </c>
      <c r="C91">
        <v>44.79</v>
      </c>
      <c r="D91">
        <v>43.41</v>
      </c>
      <c r="E91">
        <v>44.56</v>
      </c>
      <c r="F91">
        <v>34.409999999999997</v>
      </c>
      <c r="G91">
        <v>173171000</v>
      </c>
      <c r="H91" t="str">
        <f t="shared" si="3"/>
        <v>No</v>
      </c>
      <c r="I91" s="3">
        <f t="shared" si="4"/>
        <v>8.4994138335285907E-3</v>
      </c>
    </row>
    <row r="92" spans="1:9" x14ac:dyDescent="0.3">
      <c r="A92" s="1">
        <v>43070</v>
      </c>
      <c r="B92">
        <v>44.42</v>
      </c>
      <c r="C92">
        <v>45.06</v>
      </c>
      <c r="D92">
        <v>43.98</v>
      </c>
      <c r="E92">
        <v>44.86</v>
      </c>
      <c r="F92">
        <v>34.64</v>
      </c>
      <c r="G92">
        <v>155548700</v>
      </c>
      <c r="H92" t="str">
        <f t="shared" si="3"/>
        <v>No</v>
      </c>
      <c r="I92" s="3">
        <f t="shared" si="4"/>
        <v>6.6841034582971748E-3</v>
      </c>
    </row>
    <row r="93" spans="1:9" x14ac:dyDescent="0.3">
      <c r="A93" s="1">
        <v>43101</v>
      </c>
      <c r="B93">
        <v>45.04</v>
      </c>
      <c r="C93">
        <v>47.89</v>
      </c>
      <c r="D93">
        <v>44.99</v>
      </c>
      <c r="E93">
        <v>46.99</v>
      </c>
      <c r="F93">
        <v>36.64</v>
      </c>
      <c r="G93">
        <v>205495500</v>
      </c>
      <c r="H93" t="str">
        <f t="shared" si="3"/>
        <v>No</v>
      </c>
      <c r="I93" s="3">
        <f t="shared" si="4"/>
        <v>5.773672055427248E-2</v>
      </c>
    </row>
    <row r="94" spans="1:9" x14ac:dyDescent="0.3">
      <c r="A94" s="1">
        <v>43132</v>
      </c>
      <c r="B94">
        <v>46.92</v>
      </c>
      <c r="C94">
        <v>47.16</v>
      </c>
      <c r="D94">
        <v>42.53</v>
      </c>
      <c r="E94">
        <v>44.59</v>
      </c>
      <c r="F94">
        <v>34.770000000000003</v>
      </c>
      <c r="G94">
        <v>288344600</v>
      </c>
      <c r="H94" t="str">
        <f t="shared" si="3"/>
        <v>No</v>
      </c>
      <c r="I94" s="3">
        <f t="shared" si="4"/>
        <v>-5.1037117903930063E-2</v>
      </c>
    </row>
    <row r="95" spans="1:9" x14ac:dyDescent="0.3">
      <c r="A95" s="1">
        <v>43160</v>
      </c>
      <c r="B95">
        <v>44.35</v>
      </c>
      <c r="C95">
        <v>45.35</v>
      </c>
      <c r="D95">
        <v>43.29</v>
      </c>
      <c r="E95">
        <v>44.25</v>
      </c>
      <c r="F95">
        <v>34.51</v>
      </c>
      <c r="G95">
        <v>213977200</v>
      </c>
      <c r="H95" t="str">
        <f t="shared" si="3"/>
        <v>No</v>
      </c>
      <c r="I95" s="3">
        <f t="shared" si="4"/>
        <v>-7.4777106701180429E-3</v>
      </c>
    </row>
    <row r="96" spans="1:9" x14ac:dyDescent="0.3">
      <c r="A96" s="1">
        <v>43191</v>
      </c>
      <c r="B96">
        <v>44.07</v>
      </c>
      <c r="C96">
        <v>45.49</v>
      </c>
      <c r="D96">
        <v>43.31</v>
      </c>
      <c r="E96">
        <v>44.81</v>
      </c>
      <c r="F96">
        <v>35.07</v>
      </c>
      <c r="G96">
        <v>180171000</v>
      </c>
      <c r="H96" t="str">
        <f t="shared" si="3"/>
        <v>No</v>
      </c>
      <c r="I96" s="3">
        <f t="shared" si="4"/>
        <v>1.6227180527383478E-2</v>
      </c>
    </row>
    <row r="97" spans="1:9" x14ac:dyDescent="0.3">
      <c r="A97" s="1">
        <v>43221</v>
      </c>
      <c r="B97">
        <v>44.86</v>
      </c>
      <c r="C97">
        <v>45.74</v>
      </c>
      <c r="D97">
        <v>43.61</v>
      </c>
      <c r="E97">
        <v>44.17</v>
      </c>
      <c r="F97">
        <v>34.57</v>
      </c>
      <c r="G97">
        <v>154351000</v>
      </c>
      <c r="H97" t="str">
        <f t="shared" si="3"/>
        <v>No</v>
      </c>
      <c r="I97" s="3">
        <f t="shared" si="4"/>
        <v>-1.4257199885942429E-2</v>
      </c>
    </row>
    <row r="98" spans="1:9" x14ac:dyDescent="0.3">
      <c r="A98" s="1">
        <v>43252</v>
      </c>
      <c r="B98">
        <v>44.51</v>
      </c>
      <c r="C98">
        <v>45.22</v>
      </c>
      <c r="D98">
        <v>42.31</v>
      </c>
      <c r="E98">
        <v>42.9</v>
      </c>
      <c r="F98">
        <v>33.58</v>
      </c>
      <c r="G98">
        <v>192675000</v>
      </c>
      <c r="H98" t="str">
        <f t="shared" ref="H98:H129" si="5">IF(ISNUMBER(SEARCH("Dividend",B98)),"Yes","No")</f>
        <v>No</v>
      </c>
      <c r="I98" s="3">
        <f t="shared" si="4"/>
        <v>-2.8637547006074682E-2</v>
      </c>
    </row>
    <row r="99" spans="1:9" x14ac:dyDescent="0.3">
      <c r="A99" s="1">
        <v>43282</v>
      </c>
      <c r="B99">
        <v>42.24</v>
      </c>
      <c r="C99">
        <v>44.05</v>
      </c>
      <c r="D99">
        <v>42.21</v>
      </c>
      <c r="E99">
        <v>43.88</v>
      </c>
      <c r="F99">
        <v>34.78</v>
      </c>
      <c r="G99">
        <v>164152600</v>
      </c>
      <c r="H99" t="str">
        <f t="shared" si="5"/>
        <v>No</v>
      </c>
      <c r="I99" s="3">
        <f t="shared" si="4"/>
        <v>3.5735556879094688E-2</v>
      </c>
    </row>
    <row r="100" spans="1:9" x14ac:dyDescent="0.3">
      <c r="A100" s="1">
        <v>43313</v>
      </c>
      <c r="B100">
        <v>43.85</v>
      </c>
      <c r="C100">
        <v>43.94</v>
      </c>
      <c r="D100">
        <v>41.57</v>
      </c>
      <c r="E100">
        <v>43.12</v>
      </c>
      <c r="F100">
        <v>34.18</v>
      </c>
      <c r="G100">
        <v>177437800</v>
      </c>
      <c r="H100" t="str">
        <f t="shared" si="5"/>
        <v>No</v>
      </c>
      <c r="I100" s="3">
        <f t="shared" si="4"/>
        <v>-1.7251293847038607E-2</v>
      </c>
    </row>
    <row r="101" spans="1:9" x14ac:dyDescent="0.3">
      <c r="A101" s="1">
        <v>43344</v>
      </c>
      <c r="B101">
        <v>42.59</v>
      </c>
      <c r="C101">
        <v>43.99</v>
      </c>
      <c r="D101">
        <v>41.77</v>
      </c>
      <c r="E101">
        <v>43.27</v>
      </c>
      <c r="F101">
        <v>34.29</v>
      </c>
      <c r="G101">
        <v>146145500</v>
      </c>
      <c r="H101" t="str">
        <f t="shared" si="5"/>
        <v>No</v>
      </c>
      <c r="I101" s="3">
        <f t="shared" si="4"/>
        <v>3.2182562902280942E-3</v>
      </c>
    </row>
    <row r="102" spans="1:9" x14ac:dyDescent="0.3">
      <c r="A102" s="1">
        <v>43374</v>
      </c>
      <c r="B102">
        <v>43.45</v>
      </c>
      <c r="C102">
        <v>43.52</v>
      </c>
      <c r="D102">
        <v>38.380000000000003</v>
      </c>
      <c r="E102">
        <v>39.549999999999997</v>
      </c>
      <c r="F102">
        <v>31.46</v>
      </c>
      <c r="G102">
        <v>356421900</v>
      </c>
      <c r="H102" t="str">
        <f t="shared" si="5"/>
        <v>No</v>
      </c>
      <c r="I102" s="3">
        <f t="shared" si="4"/>
        <v>-8.2531350247885604E-2</v>
      </c>
    </row>
    <row r="103" spans="1:9" x14ac:dyDescent="0.3">
      <c r="A103" s="1">
        <v>43405</v>
      </c>
      <c r="B103">
        <v>39.89</v>
      </c>
      <c r="C103">
        <v>40.89</v>
      </c>
      <c r="D103">
        <v>38.69</v>
      </c>
      <c r="E103">
        <v>39.75</v>
      </c>
      <c r="F103">
        <v>31.62</v>
      </c>
      <c r="G103">
        <v>314984100</v>
      </c>
      <c r="H103" t="str">
        <f t="shared" si="5"/>
        <v>No</v>
      </c>
      <c r="I103" s="3">
        <f t="shared" si="4"/>
        <v>5.0858232676413984E-3</v>
      </c>
    </row>
    <row r="104" spans="1:9" x14ac:dyDescent="0.3">
      <c r="A104" s="1">
        <v>43435</v>
      </c>
      <c r="B104">
        <v>40.36</v>
      </c>
      <c r="C104">
        <v>40.39</v>
      </c>
      <c r="D104">
        <v>35.74</v>
      </c>
      <c r="E104">
        <v>37.1</v>
      </c>
      <c r="F104">
        <v>29.51</v>
      </c>
      <c r="G104">
        <v>750759200</v>
      </c>
      <c r="H104" t="str">
        <f t="shared" si="5"/>
        <v>No</v>
      </c>
      <c r="I104" s="3">
        <f t="shared" si="4"/>
        <v>-6.6729917773560965E-2</v>
      </c>
    </row>
    <row r="105" spans="1:9" x14ac:dyDescent="0.3">
      <c r="A105" s="1">
        <v>43466</v>
      </c>
      <c r="B105">
        <v>36.64</v>
      </c>
      <c r="C105">
        <v>40.03</v>
      </c>
      <c r="D105">
        <v>36.6</v>
      </c>
      <c r="E105">
        <v>39.869999999999997</v>
      </c>
      <c r="F105">
        <v>32.049999999999997</v>
      </c>
      <c r="G105">
        <v>385497300</v>
      </c>
      <c r="H105" t="str">
        <f t="shared" si="5"/>
        <v>No</v>
      </c>
      <c r="I105" s="3">
        <f t="shared" si="4"/>
        <v>8.6072517790579228E-2</v>
      </c>
    </row>
    <row r="106" spans="1:9" x14ac:dyDescent="0.3">
      <c r="A106" s="1">
        <v>43497</v>
      </c>
      <c r="B106">
        <v>39.83</v>
      </c>
      <c r="C106">
        <v>41.21</v>
      </c>
      <c r="D106">
        <v>39.14</v>
      </c>
      <c r="E106">
        <v>40.799999999999997</v>
      </c>
      <c r="F106">
        <v>32.799999999999997</v>
      </c>
      <c r="G106">
        <v>192656500</v>
      </c>
      <c r="H106" t="str">
        <f t="shared" si="5"/>
        <v>No</v>
      </c>
      <c r="I106" s="3">
        <f t="shared" si="4"/>
        <v>2.3400936037441422E-2</v>
      </c>
    </row>
    <row r="107" spans="1:9" x14ac:dyDescent="0.3">
      <c r="A107" s="1">
        <v>43525</v>
      </c>
      <c r="B107">
        <v>41.07</v>
      </c>
      <c r="C107">
        <v>41.73</v>
      </c>
      <c r="D107">
        <v>39.99</v>
      </c>
      <c r="E107">
        <v>40.869999999999997</v>
      </c>
      <c r="F107">
        <v>32.85</v>
      </c>
      <c r="G107">
        <v>187435300</v>
      </c>
      <c r="H107" t="str">
        <f t="shared" si="5"/>
        <v>No</v>
      </c>
      <c r="I107" s="3">
        <f t="shared" si="4"/>
        <v>1.5243902439026069E-3</v>
      </c>
    </row>
    <row r="108" spans="1:9" x14ac:dyDescent="0.3">
      <c r="A108" s="1">
        <v>43556</v>
      </c>
      <c r="B108">
        <v>41.25</v>
      </c>
      <c r="C108">
        <v>42.21</v>
      </c>
      <c r="D108">
        <v>41.2</v>
      </c>
      <c r="E108">
        <v>42.03</v>
      </c>
      <c r="F108">
        <v>33.93</v>
      </c>
      <c r="G108">
        <v>152265100</v>
      </c>
      <c r="H108" t="str">
        <f t="shared" si="5"/>
        <v>No</v>
      </c>
      <c r="I108" s="3">
        <f t="shared" si="4"/>
        <v>3.2876712328766988E-2</v>
      </c>
    </row>
    <row r="109" spans="1:9" x14ac:dyDescent="0.3">
      <c r="A109" s="1">
        <v>43586</v>
      </c>
      <c r="B109">
        <v>42.09</v>
      </c>
      <c r="C109">
        <v>42.14</v>
      </c>
      <c r="D109">
        <v>39.61</v>
      </c>
      <c r="E109">
        <v>39.840000000000003</v>
      </c>
      <c r="F109">
        <v>32.159999999999997</v>
      </c>
      <c r="G109">
        <v>201202400</v>
      </c>
      <c r="H109" t="str">
        <f t="shared" si="5"/>
        <v>No</v>
      </c>
      <c r="I109" s="3">
        <f t="shared" si="4"/>
        <v>-5.2166224580017739E-2</v>
      </c>
    </row>
    <row r="110" spans="1:9" x14ac:dyDescent="0.3">
      <c r="A110" s="1">
        <v>43617</v>
      </c>
      <c r="B110">
        <v>39.92</v>
      </c>
      <c r="C110">
        <v>41.78</v>
      </c>
      <c r="D110">
        <v>39.83</v>
      </c>
      <c r="E110">
        <v>41.71</v>
      </c>
      <c r="F110">
        <v>33.67</v>
      </c>
      <c r="G110">
        <v>157633300</v>
      </c>
      <c r="H110" t="str">
        <f t="shared" si="5"/>
        <v>No</v>
      </c>
      <c r="I110" s="3">
        <f t="shared" si="4"/>
        <v>4.6952736318408128E-2</v>
      </c>
    </row>
    <row r="111" spans="1:9" x14ac:dyDescent="0.3">
      <c r="A111" s="1">
        <v>43647</v>
      </c>
      <c r="B111">
        <v>42.11</v>
      </c>
      <c r="C111">
        <v>42.28</v>
      </c>
      <c r="D111">
        <v>40.56</v>
      </c>
      <c r="E111">
        <v>40.86</v>
      </c>
      <c r="F111">
        <v>33.35</v>
      </c>
      <c r="G111">
        <v>137711400</v>
      </c>
      <c r="H111" t="str">
        <f t="shared" si="5"/>
        <v>No</v>
      </c>
      <c r="I111" s="3">
        <f t="shared" si="4"/>
        <v>-9.5040095040095363E-3</v>
      </c>
    </row>
    <row r="112" spans="1:9" x14ac:dyDescent="0.3">
      <c r="A112" s="1">
        <v>43678</v>
      </c>
      <c r="B112">
        <v>40.86</v>
      </c>
      <c r="C112">
        <v>41.22</v>
      </c>
      <c r="D112">
        <v>38.79</v>
      </c>
      <c r="E112">
        <v>40.090000000000003</v>
      </c>
      <c r="F112">
        <v>32.729999999999997</v>
      </c>
      <c r="G112">
        <v>230733700</v>
      </c>
      <c r="H112" t="str">
        <f t="shared" si="5"/>
        <v>No</v>
      </c>
      <c r="I112" s="3">
        <f t="shared" si="4"/>
        <v>-1.8590704647676315E-2</v>
      </c>
    </row>
    <row r="113" spans="1:9" x14ac:dyDescent="0.3">
      <c r="A113" s="1">
        <v>43709</v>
      </c>
      <c r="B113">
        <v>39.82</v>
      </c>
      <c r="C113">
        <v>41.91</v>
      </c>
      <c r="D113">
        <v>39.770000000000003</v>
      </c>
      <c r="E113">
        <v>41.08</v>
      </c>
      <c r="F113">
        <v>33.53</v>
      </c>
      <c r="G113">
        <v>174007300</v>
      </c>
      <c r="H113" t="str">
        <f t="shared" si="5"/>
        <v>No</v>
      </c>
      <c r="I113" s="3">
        <f t="shared" si="4"/>
        <v>2.4442407577146552E-2</v>
      </c>
    </row>
    <row r="114" spans="1:9" x14ac:dyDescent="0.3">
      <c r="A114" s="1">
        <v>43739</v>
      </c>
      <c r="B114">
        <v>40.99</v>
      </c>
      <c r="C114">
        <v>42.5</v>
      </c>
      <c r="D114">
        <v>39.74</v>
      </c>
      <c r="E114">
        <v>42.4</v>
      </c>
      <c r="F114">
        <v>34.840000000000003</v>
      </c>
      <c r="G114">
        <v>198605800</v>
      </c>
      <c r="H114" t="str">
        <f t="shared" si="5"/>
        <v>No</v>
      </c>
      <c r="I114" s="3">
        <f t="shared" si="4"/>
        <v>3.9069490008947216E-2</v>
      </c>
    </row>
    <row r="115" spans="1:9" x14ac:dyDescent="0.3">
      <c r="A115" s="1">
        <v>43770</v>
      </c>
      <c r="B115">
        <v>42.67</v>
      </c>
      <c r="C115">
        <v>43.31</v>
      </c>
      <c r="D115">
        <v>42.63</v>
      </c>
      <c r="E115">
        <v>42.97</v>
      </c>
      <c r="F115">
        <v>35.31</v>
      </c>
      <c r="G115">
        <v>124266900</v>
      </c>
      <c r="H115" t="str">
        <f t="shared" si="5"/>
        <v>No</v>
      </c>
      <c r="I115" s="3">
        <f t="shared" si="4"/>
        <v>1.3490241102181333E-2</v>
      </c>
    </row>
    <row r="116" spans="1:9" x14ac:dyDescent="0.3">
      <c r="A116" s="1">
        <v>43800</v>
      </c>
      <c r="B116">
        <v>42.96</v>
      </c>
      <c r="C116">
        <v>44.47</v>
      </c>
      <c r="D116">
        <v>42.27</v>
      </c>
      <c r="E116">
        <v>44.06</v>
      </c>
      <c r="F116">
        <v>36.21</v>
      </c>
      <c r="G116">
        <v>162970400</v>
      </c>
      <c r="H116" t="str">
        <f t="shared" si="5"/>
        <v>No</v>
      </c>
      <c r="I116" s="3">
        <f t="shared" si="4"/>
        <v>2.5488530161427381E-2</v>
      </c>
    </row>
    <row r="117" spans="1:9" x14ac:dyDescent="0.3">
      <c r="A117" s="1">
        <v>43831</v>
      </c>
      <c r="B117">
        <v>44.35</v>
      </c>
      <c r="C117">
        <v>44.67</v>
      </c>
      <c r="D117">
        <v>42.61</v>
      </c>
      <c r="E117">
        <v>42.74</v>
      </c>
      <c r="F117">
        <v>35.47</v>
      </c>
      <c r="G117">
        <v>189145000</v>
      </c>
      <c r="H117" t="str">
        <f t="shared" si="5"/>
        <v>No</v>
      </c>
      <c r="I117" s="3">
        <f t="shared" si="4"/>
        <v>-2.0436343551505143E-2</v>
      </c>
    </row>
    <row r="118" spans="1:9" x14ac:dyDescent="0.3">
      <c r="A118" s="1">
        <v>43862</v>
      </c>
      <c r="B118">
        <v>42.86</v>
      </c>
      <c r="C118">
        <v>44.32</v>
      </c>
      <c r="D118">
        <v>38.450000000000003</v>
      </c>
      <c r="E118">
        <v>39.47</v>
      </c>
      <c r="F118">
        <v>32.76</v>
      </c>
      <c r="G118">
        <v>285101800</v>
      </c>
      <c r="H118" t="str">
        <f t="shared" si="5"/>
        <v>No</v>
      </c>
      <c r="I118" s="3">
        <f t="shared" si="4"/>
        <v>-7.6402593741189739E-2</v>
      </c>
    </row>
    <row r="119" spans="1:9" x14ac:dyDescent="0.3">
      <c r="A119" s="1">
        <v>43891</v>
      </c>
      <c r="B119">
        <v>39.369999999999997</v>
      </c>
      <c r="C119">
        <v>40.81</v>
      </c>
      <c r="D119">
        <v>28.46</v>
      </c>
      <c r="E119">
        <v>33.340000000000003</v>
      </c>
      <c r="F119">
        <v>27.67</v>
      </c>
      <c r="G119">
        <v>1041339400</v>
      </c>
      <c r="H119" t="str">
        <f t="shared" si="5"/>
        <v>No</v>
      </c>
      <c r="I119" s="3">
        <f t="shared" si="4"/>
        <v>-0.15537240537240526</v>
      </c>
    </row>
    <row r="120" spans="1:9" x14ac:dyDescent="0.3">
      <c r="A120" s="1">
        <v>43922</v>
      </c>
      <c r="B120">
        <v>32.24</v>
      </c>
      <c r="C120">
        <v>36.53</v>
      </c>
      <c r="D120">
        <v>31.6</v>
      </c>
      <c r="E120">
        <v>35.68</v>
      </c>
      <c r="F120">
        <v>29.75</v>
      </c>
      <c r="G120">
        <v>549284400</v>
      </c>
      <c r="H120" t="str">
        <f t="shared" si="5"/>
        <v>No</v>
      </c>
      <c r="I120" s="3">
        <f t="shared" si="4"/>
        <v>7.5171666064329568E-2</v>
      </c>
    </row>
    <row r="121" spans="1:9" x14ac:dyDescent="0.3">
      <c r="A121" s="1">
        <v>43952</v>
      </c>
      <c r="B121">
        <v>35.049999999999997</v>
      </c>
      <c r="C121">
        <v>38.130000000000003</v>
      </c>
      <c r="D121">
        <v>34.119999999999997</v>
      </c>
      <c r="E121">
        <v>37.67</v>
      </c>
      <c r="F121">
        <v>31.41</v>
      </c>
      <c r="G121">
        <v>326378800</v>
      </c>
      <c r="H121" t="str">
        <f t="shared" si="5"/>
        <v>No</v>
      </c>
      <c r="I121" s="3">
        <f t="shared" si="4"/>
        <v>5.5798319327731161E-2</v>
      </c>
    </row>
    <row r="122" spans="1:9" x14ac:dyDescent="0.3">
      <c r="A122" s="1">
        <v>43983</v>
      </c>
      <c r="B122">
        <v>37.96</v>
      </c>
      <c r="C122">
        <v>40.869999999999997</v>
      </c>
      <c r="D122">
        <v>37.79</v>
      </c>
      <c r="E122">
        <v>38.79</v>
      </c>
      <c r="F122">
        <v>32.340000000000003</v>
      </c>
      <c r="G122">
        <v>308918700</v>
      </c>
      <c r="H122" t="str">
        <f t="shared" si="5"/>
        <v>No</v>
      </c>
      <c r="I122" s="3">
        <f t="shared" si="4"/>
        <v>2.9608404966571245E-2</v>
      </c>
    </row>
    <row r="123" spans="1:9" x14ac:dyDescent="0.3">
      <c r="A123" s="1">
        <v>44013</v>
      </c>
      <c r="B123">
        <v>38.729999999999997</v>
      </c>
      <c r="C123">
        <v>41.22</v>
      </c>
      <c r="D123">
        <v>38.72</v>
      </c>
      <c r="E123">
        <v>39.81</v>
      </c>
      <c r="F123">
        <v>33.36</v>
      </c>
      <c r="G123">
        <v>184238900</v>
      </c>
      <c r="H123" t="str">
        <f t="shared" si="5"/>
        <v>No</v>
      </c>
      <c r="I123" s="3">
        <f t="shared" si="4"/>
        <v>3.1539888682745598E-2</v>
      </c>
    </row>
    <row r="124" spans="1:9" x14ac:dyDescent="0.3">
      <c r="A124" s="1">
        <v>44044</v>
      </c>
      <c r="B124">
        <v>40.17</v>
      </c>
      <c r="C124">
        <v>42.33</v>
      </c>
      <c r="D124">
        <v>40.08</v>
      </c>
      <c r="E124">
        <v>41.87</v>
      </c>
      <c r="F124">
        <v>35.090000000000003</v>
      </c>
      <c r="G124">
        <v>183580700</v>
      </c>
      <c r="H124" t="str">
        <f t="shared" si="5"/>
        <v>No</v>
      </c>
      <c r="I124" s="3">
        <f t="shared" si="4"/>
        <v>5.1858513189448452E-2</v>
      </c>
    </row>
    <row r="125" spans="1:9" x14ac:dyDescent="0.3">
      <c r="A125" s="1">
        <v>44075</v>
      </c>
      <c r="B125">
        <v>41.9</v>
      </c>
      <c r="C125">
        <v>42.54</v>
      </c>
      <c r="D125">
        <v>39.81</v>
      </c>
      <c r="E125">
        <v>40.9</v>
      </c>
      <c r="F125">
        <v>34.270000000000003</v>
      </c>
      <c r="G125">
        <v>204264400</v>
      </c>
      <c r="H125" t="str">
        <f t="shared" si="5"/>
        <v>No</v>
      </c>
      <c r="I125" s="3">
        <f t="shared" si="4"/>
        <v>-2.3368481048731793E-2</v>
      </c>
    </row>
    <row r="126" spans="1:9" x14ac:dyDescent="0.3">
      <c r="A126" s="1">
        <v>44105</v>
      </c>
      <c r="B126">
        <v>41.1</v>
      </c>
      <c r="C126">
        <v>42.5</v>
      </c>
      <c r="D126">
        <v>39.130000000000003</v>
      </c>
      <c r="E126">
        <v>39.450000000000003</v>
      </c>
      <c r="F126">
        <v>33.229999999999997</v>
      </c>
      <c r="G126">
        <v>176527300</v>
      </c>
      <c r="H126" t="str">
        <f t="shared" si="5"/>
        <v>No</v>
      </c>
      <c r="I126" s="3">
        <f t="shared" si="4"/>
        <v>-3.0347242486139625E-2</v>
      </c>
    </row>
    <row r="127" spans="1:9" x14ac:dyDescent="0.3">
      <c r="A127" s="1">
        <v>44136</v>
      </c>
      <c r="B127">
        <v>39.89</v>
      </c>
      <c r="C127">
        <v>46.02</v>
      </c>
      <c r="D127">
        <v>39.659999999999997</v>
      </c>
      <c r="E127">
        <v>45.09</v>
      </c>
      <c r="F127">
        <v>37.979999999999997</v>
      </c>
      <c r="G127">
        <v>162766400</v>
      </c>
      <c r="H127" t="str">
        <f t="shared" si="5"/>
        <v>No</v>
      </c>
      <c r="I127" s="3">
        <f t="shared" si="4"/>
        <v>0.14294312368341866</v>
      </c>
    </row>
    <row r="128" spans="1:9" x14ac:dyDescent="0.3">
      <c r="A128" s="1">
        <v>44166</v>
      </c>
      <c r="B128">
        <v>45.84</v>
      </c>
      <c r="C128">
        <v>47.82</v>
      </c>
      <c r="D128">
        <v>45.6</v>
      </c>
      <c r="E128">
        <v>47.21</v>
      </c>
      <c r="F128">
        <v>39.770000000000003</v>
      </c>
      <c r="G128">
        <v>169046100</v>
      </c>
      <c r="H128" t="str">
        <f t="shared" si="5"/>
        <v>No</v>
      </c>
      <c r="I128" s="3">
        <f t="shared" si="4"/>
        <v>4.7130068457082785E-2</v>
      </c>
    </row>
    <row r="129" spans="1:9" x14ac:dyDescent="0.3">
      <c r="A129" s="1">
        <v>44197</v>
      </c>
      <c r="B129">
        <v>48.12</v>
      </c>
      <c r="C129">
        <v>49.18</v>
      </c>
      <c r="D129">
        <v>46.66</v>
      </c>
      <c r="E129">
        <v>46.87</v>
      </c>
      <c r="F129">
        <v>39.83</v>
      </c>
      <c r="G129">
        <v>213106800</v>
      </c>
      <c r="H129" t="str">
        <f t="shared" si="5"/>
        <v>No</v>
      </c>
      <c r="I129" s="3">
        <f t="shared" si="4"/>
        <v>1.5086748805630545E-3</v>
      </c>
    </row>
    <row r="130" spans="1:9" x14ac:dyDescent="0.3">
      <c r="A130" s="1">
        <v>44228</v>
      </c>
      <c r="B130">
        <v>47.51</v>
      </c>
      <c r="C130">
        <v>50.1</v>
      </c>
      <c r="D130">
        <v>47.28</v>
      </c>
      <c r="E130">
        <v>48.01</v>
      </c>
      <c r="F130">
        <v>40.799999999999997</v>
      </c>
      <c r="G130">
        <v>172117400</v>
      </c>
      <c r="H130" t="str">
        <f t="shared" ref="H130:H161" si="6">IF(ISNUMBER(SEARCH("Dividend",B130)),"Yes","No")</f>
        <v>No</v>
      </c>
      <c r="I130" s="3">
        <f t="shared" si="4"/>
        <v>2.4353502385136894E-2</v>
      </c>
    </row>
    <row r="131" spans="1:9" x14ac:dyDescent="0.3">
      <c r="A131" s="1">
        <v>44256</v>
      </c>
      <c r="B131">
        <v>48.63</v>
      </c>
      <c r="C131">
        <v>50.14</v>
      </c>
      <c r="D131">
        <v>47.75</v>
      </c>
      <c r="E131">
        <v>49.11</v>
      </c>
      <c r="F131">
        <v>41.74</v>
      </c>
      <c r="G131">
        <v>223782200</v>
      </c>
      <c r="H131" t="str">
        <f t="shared" si="6"/>
        <v>No</v>
      </c>
      <c r="I131" s="3">
        <f t="shared" si="4"/>
        <v>2.303921568627465E-2</v>
      </c>
    </row>
    <row r="132" spans="1:9" x14ac:dyDescent="0.3">
      <c r="A132" s="1">
        <v>44287</v>
      </c>
      <c r="B132">
        <v>49.43</v>
      </c>
      <c r="C132">
        <v>51.48</v>
      </c>
      <c r="D132">
        <v>49.37</v>
      </c>
      <c r="E132">
        <v>50.61</v>
      </c>
      <c r="F132">
        <v>43.21</v>
      </c>
      <c r="G132">
        <v>199538800</v>
      </c>
      <c r="H132" t="str">
        <f t="shared" si="6"/>
        <v>No</v>
      </c>
      <c r="I132" s="3">
        <f t="shared" ref="I132:I195" si="7">(F132/F131)-1</f>
        <v>3.5218016291327148E-2</v>
      </c>
    </row>
    <row r="133" spans="1:9" x14ac:dyDescent="0.3">
      <c r="A133" s="1">
        <v>44317</v>
      </c>
      <c r="B133">
        <v>51</v>
      </c>
      <c r="C133">
        <v>52.61</v>
      </c>
      <c r="D133">
        <v>50.19</v>
      </c>
      <c r="E133">
        <v>52.42</v>
      </c>
      <c r="F133">
        <v>44.76</v>
      </c>
      <c r="G133">
        <v>150061400</v>
      </c>
      <c r="H133" t="str">
        <f t="shared" si="6"/>
        <v>No</v>
      </c>
      <c r="I133" s="3">
        <f t="shared" si="7"/>
        <v>3.5871326081925448E-2</v>
      </c>
    </row>
    <row r="134" spans="1:9" x14ac:dyDescent="0.3">
      <c r="A134" s="1">
        <v>44348</v>
      </c>
      <c r="B134">
        <v>52.92</v>
      </c>
      <c r="C134">
        <v>53.43</v>
      </c>
      <c r="D134">
        <v>51.32</v>
      </c>
      <c r="E134">
        <v>51.52</v>
      </c>
      <c r="F134">
        <v>43.99</v>
      </c>
      <c r="G134">
        <v>152243500</v>
      </c>
      <c r="H134" t="str">
        <f t="shared" si="6"/>
        <v>No</v>
      </c>
      <c r="I134" s="3">
        <f t="shared" si="7"/>
        <v>-1.7202859696157202E-2</v>
      </c>
    </row>
    <row r="135" spans="1:9" x14ac:dyDescent="0.3">
      <c r="A135" s="1">
        <v>44378</v>
      </c>
      <c r="B135">
        <v>51.5</v>
      </c>
      <c r="C135">
        <v>52.22</v>
      </c>
      <c r="D135">
        <v>49.81</v>
      </c>
      <c r="E135">
        <v>51.78</v>
      </c>
      <c r="F135">
        <v>44.57</v>
      </c>
      <c r="G135">
        <v>162605500</v>
      </c>
      <c r="H135" t="str">
        <f t="shared" si="6"/>
        <v>No</v>
      </c>
      <c r="I135" s="3">
        <f t="shared" si="7"/>
        <v>1.3184814730620609E-2</v>
      </c>
    </row>
    <row r="136" spans="1:9" x14ac:dyDescent="0.3">
      <c r="A136" s="1">
        <v>44409</v>
      </c>
      <c r="B136">
        <v>52.2</v>
      </c>
      <c r="C136">
        <v>52.84</v>
      </c>
      <c r="D136">
        <v>51</v>
      </c>
      <c r="E136">
        <v>52.46</v>
      </c>
      <c r="F136">
        <v>45.15</v>
      </c>
      <c r="G136">
        <v>134712800</v>
      </c>
      <c r="H136" t="str">
        <f t="shared" si="6"/>
        <v>No</v>
      </c>
      <c r="I136" s="3">
        <f t="shared" si="7"/>
        <v>1.3013237603769268E-2</v>
      </c>
    </row>
    <row r="137" spans="1:9" x14ac:dyDescent="0.3">
      <c r="A137" s="1">
        <v>44440</v>
      </c>
      <c r="B137">
        <v>52.85</v>
      </c>
      <c r="C137">
        <v>53.49</v>
      </c>
      <c r="D137">
        <v>50.37</v>
      </c>
      <c r="E137">
        <v>50.49</v>
      </c>
      <c r="F137">
        <v>43.46</v>
      </c>
      <c r="G137">
        <v>173114700</v>
      </c>
      <c r="H137" t="str">
        <f t="shared" si="6"/>
        <v>No</v>
      </c>
      <c r="I137" s="3">
        <f t="shared" si="7"/>
        <v>-3.7430786267995564E-2</v>
      </c>
    </row>
    <row r="138" spans="1:9" x14ac:dyDescent="0.3">
      <c r="A138" s="1">
        <v>44470</v>
      </c>
      <c r="B138">
        <v>50.5</v>
      </c>
      <c r="C138">
        <v>52.54</v>
      </c>
      <c r="D138">
        <v>49.45</v>
      </c>
      <c r="E138">
        <v>52.12</v>
      </c>
      <c r="F138">
        <v>45.03</v>
      </c>
      <c r="G138">
        <v>149133000</v>
      </c>
      <c r="H138" t="str">
        <f t="shared" si="6"/>
        <v>No</v>
      </c>
      <c r="I138" s="3">
        <f t="shared" si="7"/>
        <v>3.6125172572480491E-2</v>
      </c>
    </row>
    <row r="139" spans="1:9" x14ac:dyDescent="0.3">
      <c r="A139" s="1">
        <v>44501</v>
      </c>
      <c r="B139">
        <v>52.4</v>
      </c>
      <c r="C139">
        <v>53.04</v>
      </c>
      <c r="D139">
        <v>49.28</v>
      </c>
      <c r="E139">
        <v>49.7</v>
      </c>
      <c r="F139">
        <v>42.94</v>
      </c>
      <c r="G139">
        <v>201824700</v>
      </c>
      <c r="H139" t="str">
        <f t="shared" si="6"/>
        <v>No</v>
      </c>
      <c r="I139" s="3">
        <f t="shared" si="7"/>
        <v>-4.6413502109704741E-2</v>
      </c>
    </row>
    <row r="140" spans="1:9" x14ac:dyDescent="0.3">
      <c r="A140" s="1">
        <v>44531</v>
      </c>
      <c r="B140">
        <v>50.43</v>
      </c>
      <c r="C140">
        <v>51.55</v>
      </c>
      <c r="D140">
        <v>49.11</v>
      </c>
      <c r="E140">
        <v>51.06</v>
      </c>
      <c r="F140">
        <v>44.12</v>
      </c>
      <c r="G140">
        <v>380653000</v>
      </c>
      <c r="H140" t="str">
        <f t="shared" si="6"/>
        <v>No</v>
      </c>
      <c r="I140" s="3">
        <f t="shared" si="7"/>
        <v>2.7480204937121666E-2</v>
      </c>
    </row>
    <row r="141" spans="1:9" x14ac:dyDescent="0.3">
      <c r="A141" s="1">
        <v>44562</v>
      </c>
      <c r="B141">
        <v>51.31</v>
      </c>
      <c r="C141">
        <v>51.92</v>
      </c>
      <c r="D141">
        <v>47.59</v>
      </c>
      <c r="E141">
        <v>49.09</v>
      </c>
      <c r="F141">
        <v>43.07</v>
      </c>
      <c r="G141">
        <v>407822300</v>
      </c>
      <c r="H141" t="str">
        <f t="shared" si="6"/>
        <v>No</v>
      </c>
      <c r="I141" s="3">
        <f t="shared" si="7"/>
        <v>-2.3798730734360785E-2</v>
      </c>
    </row>
    <row r="142" spans="1:9" x14ac:dyDescent="0.3">
      <c r="A142" s="1">
        <v>44593</v>
      </c>
      <c r="B142">
        <v>49.4</v>
      </c>
      <c r="C142">
        <v>50.54</v>
      </c>
      <c r="D142">
        <v>46.09</v>
      </c>
      <c r="E142">
        <v>47.79</v>
      </c>
      <c r="F142">
        <v>41.93</v>
      </c>
      <c r="G142">
        <v>381801700</v>
      </c>
      <c r="H142" t="str">
        <f t="shared" si="6"/>
        <v>No</v>
      </c>
      <c r="I142" s="3">
        <f t="shared" si="7"/>
        <v>-2.6468539586719353E-2</v>
      </c>
    </row>
    <row r="143" spans="1:9" x14ac:dyDescent="0.3">
      <c r="A143" s="1">
        <v>44621</v>
      </c>
      <c r="B143">
        <v>47.58</v>
      </c>
      <c r="C143">
        <v>49.06</v>
      </c>
      <c r="D143">
        <v>43.93</v>
      </c>
      <c r="E143">
        <v>48.03</v>
      </c>
      <c r="F143">
        <v>42.14</v>
      </c>
      <c r="G143">
        <v>584679100</v>
      </c>
      <c r="H143" t="str">
        <f t="shared" si="6"/>
        <v>No</v>
      </c>
      <c r="I143" s="3">
        <f t="shared" si="7"/>
        <v>5.008347245408995E-3</v>
      </c>
    </row>
    <row r="144" spans="1:9" x14ac:dyDescent="0.3">
      <c r="A144" s="1">
        <v>44652</v>
      </c>
      <c r="B144">
        <v>48.33</v>
      </c>
      <c r="C144">
        <v>48.7</v>
      </c>
      <c r="D144">
        <v>44.35</v>
      </c>
      <c r="E144">
        <v>44.77</v>
      </c>
      <c r="F144">
        <v>39.35</v>
      </c>
      <c r="G144">
        <v>382053900</v>
      </c>
      <c r="H144" t="str">
        <f t="shared" si="6"/>
        <v>No</v>
      </c>
      <c r="I144" s="3">
        <f t="shared" si="7"/>
        <v>-6.6207878500237238E-2</v>
      </c>
    </row>
    <row r="145" spans="1:9" x14ac:dyDescent="0.3">
      <c r="A145" s="1">
        <v>44682</v>
      </c>
      <c r="B145">
        <v>44.58</v>
      </c>
      <c r="C145">
        <v>45.85</v>
      </c>
      <c r="D145">
        <v>41.98</v>
      </c>
      <c r="E145">
        <v>45.51</v>
      </c>
      <c r="F145">
        <v>40</v>
      </c>
      <c r="G145">
        <v>483360900</v>
      </c>
      <c r="H145" t="str">
        <f t="shared" si="6"/>
        <v>No</v>
      </c>
      <c r="I145" s="3">
        <f t="shared" si="7"/>
        <v>1.6518424396442244E-2</v>
      </c>
    </row>
    <row r="146" spans="1:9" x14ac:dyDescent="0.3">
      <c r="A146" s="1">
        <v>44713</v>
      </c>
      <c r="B146">
        <v>45.76</v>
      </c>
      <c r="C146">
        <v>46.05</v>
      </c>
      <c r="D146">
        <v>40.01</v>
      </c>
      <c r="E146">
        <v>40.799999999999997</v>
      </c>
      <c r="F146">
        <v>35.86</v>
      </c>
      <c r="G146">
        <v>396249400</v>
      </c>
      <c r="H146" t="str">
        <f t="shared" si="6"/>
        <v>No</v>
      </c>
      <c r="I146" s="3">
        <f t="shared" si="7"/>
        <v>-0.10350000000000004</v>
      </c>
    </row>
    <row r="147" spans="1:9" x14ac:dyDescent="0.3">
      <c r="A147" s="1">
        <v>44743</v>
      </c>
      <c r="B147">
        <v>40.28</v>
      </c>
      <c r="C147">
        <v>42.98</v>
      </c>
      <c r="D147">
        <v>38.82</v>
      </c>
      <c r="E147">
        <v>42.96</v>
      </c>
      <c r="F147">
        <v>38.26</v>
      </c>
      <c r="G147">
        <v>351381700</v>
      </c>
      <c r="H147" t="str">
        <f t="shared" si="6"/>
        <v>No</v>
      </c>
      <c r="I147" s="3">
        <f t="shared" si="7"/>
        <v>6.6926938092582322E-2</v>
      </c>
    </row>
    <row r="148" spans="1:9" x14ac:dyDescent="0.3">
      <c r="A148" s="1">
        <v>44774</v>
      </c>
      <c r="B148">
        <v>42.93</v>
      </c>
      <c r="C148">
        <v>43.74</v>
      </c>
      <c r="D148">
        <v>40.450000000000003</v>
      </c>
      <c r="E148">
        <v>40.46</v>
      </c>
      <c r="F148">
        <v>36.03</v>
      </c>
      <c r="G148">
        <v>303699000</v>
      </c>
      <c r="H148" t="str">
        <f t="shared" si="6"/>
        <v>No</v>
      </c>
      <c r="I148" s="3">
        <f t="shared" si="7"/>
        <v>-5.8285415577626676E-2</v>
      </c>
    </row>
    <row r="149" spans="1:9" x14ac:dyDescent="0.3">
      <c r="A149" s="1">
        <v>44805</v>
      </c>
      <c r="B149">
        <v>39.909999999999997</v>
      </c>
      <c r="C149">
        <v>41.63</v>
      </c>
      <c r="D149">
        <v>35.97</v>
      </c>
      <c r="E149">
        <v>36.36</v>
      </c>
      <c r="F149">
        <v>32.380000000000003</v>
      </c>
      <c r="G149">
        <v>467397700</v>
      </c>
      <c r="H149" t="str">
        <f t="shared" si="6"/>
        <v>No</v>
      </c>
      <c r="I149" s="3">
        <f t="shared" si="7"/>
        <v>-0.10130446849847341</v>
      </c>
    </row>
    <row r="150" spans="1:9" x14ac:dyDescent="0.3">
      <c r="A150" s="1">
        <v>44835</v>
      </c>
      <c r="B150">
        <v>36.770000000000003</v>
      </c>
      <c r="C150">
        <v>39.15</v>
      </c>
      <c r="D150">
        <v>35.42</v>
      </c>
      <c r="E150">
        <v>38.57</v>
      </c>
      <c r="F150">
        <v>34.450000000000003</v>
      </c>
      <c r="G150">
        <v>489205500</v>
      </c>
      <c r="H150" t="str">
        <f t="shared" si="6"/>
        <v>No</v>
      </c>
      <c r="I150" s="3">
        <f t="shared" si="7"/>
        <v>6.3928350833847958E-2</v>
      </c>
    </row>
    <row r="151" spans="1:9" x14ac:dyDescent="0.3">
      <c r="A151" s="1">
        <v>44866</v>
      </c>
      <c r="B151">
        <v>39.39</v>
      </c>
      <c r="C151">
        <v>43.55</v>
      </c>
      <c r="D151">
        <v>37.76</v>
      </c>
      <c r="E151">
        <v>43.41</v>
      </c>
      <c r="F151">
        <v>38.770000000000003</v>
      </c>
      <c r="G151">
        <v>356183300</v>
      </c>
      <c r="H151" t="str">
        <f t="shared" si="6"/>
        <v>No</v>
      </c>
      <c r="I151" s="3">
        <f t="shared" si="7"/>
        <v>0.12539912917271412</v>
      </c>
    </row>
    <row r="152" spans="1:9" x14ac:dyDescent="0.3">
      <c r="A152" s="1">
        <v>44896</v>
      </c>
      <c r="B152">
        <v>43.89</v>
      </c>
      <c r="C152">
        <v>44.39</v>
      </c>
      <c r="D152">
        <v>41.54</v>
      </c>
      <c r="E152">
        <v>41.97</v>
      </c>
      <c r="F152">
        <v>37.49</v>
      </c>
      <c r="G152">
        <v>310854400</v>
      </c>
      <c r="H152" t="str">
        <f t="shared" si="6"/>
        <v>No</v>
      </c>
      <c r="I152" s="3">
        <f t="shared" si="7"/>
        <v>-3.3015217952024778E-2</v>
      </c>
    </row>
    <row r="153" spans="1:9" x14ac:dyDescent="0.3">
      <c r="A153" s="1">
        <v>44927</v>
      </c>
      <c r="B153">
        <v>42.4</v>
      </c>
      <c r="C153">
        <v>45.96</v>
      </c>
      <c r="D153">
        <v>42.03</v>
      </c>
      <c r="E153">
        <v>45.76</v>
      </c>
      <c r="F153">
        <v>41.35</v>
      </c>
      <c r="G153">
        <v>252998600</v>
      </c>
      <c r="H153" t="str">
        <f t="shared" si="6"/>
        <v>No</v>
      </c>
      <c r="I153" s="3">
        <f t="shared" si="7"/>
        <v>0.10296078954387844</v>
      </c>
    </row>
    <row r="154" spans="1:9" x14ac:dyDescent="0.3">
      <c r="A154" s="1">
        <v>44958</v>
      </c>
      <c r="B154">
        <v>45.75</v>
      </c>
      <c r="C154">
        <v>46.37</v>
      </c>
      <c r="D154">
        <v>43.81</v>
      </c>
      <c r="E154">
        <v>44.17</v>
      </c>
      <c r="F154">
        <v>39.92</v>
      </c>
      <c r="G154">
        <v>178760800</v>
      </c>
      <c r="H154" t="str">
        <f t="shared" si="6"/>
        <v>No</v>
      </c>
      <c r="I154" s="3">
        <f t="shared" si="7"/>
        <v>-3.4582829504232193E-2</v>
      </c>
    </row>
    <row r="155" spans="1:9" x14ac:dyDescent="0.3">
      <c r="A155" s="1">
        <v>44986</v>
      </c>
      <c r="B155">
        <v>44.56</v>
      </c>
      <c r="C155">
        <v>45.24</v>
      </c>
      <c r="D155">
        <v>42.02</v>
      </c>
      <c r="E155">
        <v>45.17</v>
      </c>
      <c r="F155">
        <v>40.82</v>
      </c>
      <c r="G155">
        <v>259583800</v>
      </c>
      <c r="H155" t="str">
        <f t="shared" si="6"/>
        <v>No</v>
      </c>
      <c r="I155" s="3">
        <f t="shared" si="7"/>
        <v>2.2545090180360772E-2</v>
      </c>
    </row>
    <row r="156" spans="1:9" x14ac:dyDescent="0.3">
      <c r="A156" s="1">
        <v>45017</v>
      </c>
      <c r="B156">
        <v>45.26</v>
      </c>
      <c r="C156">
        <v>46.57</v>
      </c>
      <c r="D156">
        <v>45.02</v>
      </c>
      <c r="E156">
        <v>46.36</v>
      </c>
      <c r="F156">
        <v>42.05</v>
      </c>
      <c r="G156">
        <v>172692100</v>
      </c>
      <c r="H156" t="str">
        <f t="shared" si="6"/>
        <v>No</v>
      </c>
      <c r="I156" s="3">
        <f t="shared" si="7"/>
        <v>3.0132288094071535E-2</v>
      </c>
    </row>
    <row r="157" spans="1:9" x14ac:dyDescent="0.3">
      <c r="A157" s="1">
        <v>45047</v>
      </c>
      <c r="B157">
        <v>46.42</v>
      </c>
      <c r="C157">
        <v>46.73</v>
      </c>
      <c r="D157">
        <v>44.32</v>
      </c>
      <c r="E157">
        <v>44.63</v>
      </c>
      <c r="F157">
        <v>40.479999999999997</v>
      </c>
      <c r="G157">
        <v>203732400</v>
      </c>
      <c r="H157" t="str">
        <f t="shared" si="6"/>
        <v>No</v>
      </c>
      <c r="I157" s="3">
        <f t="shared" si="7"/>
        <v>-3.7336504161712303E-2</v>
      </c>
    </row>
    <row r="158" spans="1:9" x14ac:dyDescent="0.3">
      <c r="A158" s="1">
        <v>45078</v>
      </c>
      <c r="B158">
        <v>44.87</v>
      </c>
      <c r="C158">
        <v>47.55</v>
      </c>
      <c r="D158">
        <v>44.84</v>
      </c>
      <c r="E158">
        <v>46.18</v>
      </c>
      <c r="F158">
        <v>41.89</v>
      </c>
      <c r="G158">
        <v>192260800</v>
      </c>
      <c r="H158" t="str">
        <f t="shared" si="6"/>
        <v>No</v>
      </c>
      <c r="I158" s="3">
        <f t="shared" si="7"/>
        <v>3.483201581027684E-2</v>
      </c>
    </row>
    <row r="159" spans="1:9" x14ac:dyDescent="0.3">
      <c r="A159" s="1">
        <v>45108</v>
      </c>
      <c r="B159">
        <v>46.22</v>
      </c>
      <c r="C159">
        <v>47.81</v>
      </c>
      <c r="D159">
        <v>44.71</v>
      </c>
      <c r="E159">
        <v>47.63</v>
      </c>
      <c r="F159">
        <v>43.6</v>
      </c>
      <c r="G159">
        <v>167544300</v>
      </c>
      <c r="H159" t="str">
        <f t="shared" si="6"/>
        <v>No</v>
      </c>
      <c r="I159" s="3">
        <f t="shared" si="7"/>
        <v>4.082119837670084E-2</v>
      </c>
    </row>
    <row r="160" spans="1:9" x14ac:dyDescent="0.3">
      <c r="A160" s="1">
        <v>45139</v>
      </c>
      <c r="B160">
        <v>47.23</v>
      </c>
      <c r="C160">
        <v>47.35</v>
      </c>
      <c r="D160">
        <v>44.27</v>
      </c>
      <c r="E160">
        <v>45.75</v>
      </c>
      <c r="F160">
        <v>41.88</v>
      </c>
      <c r="G160">
        <v>226068900</v>
      </c>
      <c r="H160" t="str">
        <f t="shared" si="6"/>
        <v>No</v>
      </c>
      <c r="I160" s="3">
        <f t="shared" si="7"/>
        <v>-3.9449541284403589E-2</v>
      </c>
    </row>
    <row r="161" spans="1:9" x14ac:dyDescent="0.3">
      <c r="A161" s="1">
        <v>45170</v>
      </c>
      <c r="B161">
        <v>46.17</v>
      </c>
      <c r="C161">
        <v>46.21</v>
      </c>
      <c r="D161">
        <v>43.22</v>
      </c>
      <c r="E161">
        <v>43.72</v>
      </c>
      <c r="F161">
        <v>40.020000000000003</v>
      </c>
      <c r="G161">
        <v>203300900</v>
      </c>
      <c r="H161" t="str">
        <f t="shared" si="6"/>
        <v>No</v>
      </c>
      <c r="I161" s="3">
        <f t="shared" si="7"/>
        <v>-4.4412607449856756E-2</v>
      </c>
    </row>
    <row r="162" spans="1:9" x14ac:dyDescent="0.3">
      <c r="A162" s="1">
        <v>45200</v>
      </c>
      <c r="B162">
        <v>43.45</v>
      </c>
      <c r="C162">
        <v>44.19</v>
      </c>
      <c r="D162">
        <v>41.48</v>
      </c>
      <c r="E162">
        <v>42.24</v>
      </c>
      <c r="F162">
        <v>38.93</v>
      </c>
      <c r="G162">
        <v>287625700</v>
      </c>
      <c r="H162" t="str">
        <f t="shared" ref="H162:H195" si="8">IF(ISNUMBER(SEARCH("Dividend",B162)),"Yes","No")</f>
        <v>No</v>
      </c>
      <c r="I162" s="3">
        <f t="shared" si="7"/>
        <v>-2.7236381809095489E-2</v>
      </c>
    </row>
    <row r="163" spans="1:9" x14ac:dyDescent="0.3">
      <c r="A163" s="1">
        <v>45231</v>
      </c>
      <c r="B163">
        <v>42.36</v>
      </c>
      <c r="C163">
        <v>46.15</v>
      </c>
      <c r="D163">
        <v>42.26</v>
      </c>
      <c r="E163">
        <v>45.96</v>
      </c>
      <c r="F163">
        <v>42.36</v>
      </c>
      <c r="G163">
        <v>214247100</v>
      </c>
      <c r="H163" t="str">
        <f t="shared" si="8"/>
        <v>No</v>
      </c>
      <c r="I163" s="3">
        <f t="shared" si="7"/>
        <v>8.8106858463909532E-2</v>
      </c>
    </row>
    <row r="164" spans="1:9" x14ac:dyDescent="0.3">
      <c r="A164" s="1">
        <v>45261</v>
      </c>
      <c r="B164">
        <v>45.9</v>
      </c>
      <c r="C164">
        <v>48.16</v>
      </c>
      <c r="D164">
        <v>45.79</v>
      </c>
      <c r="E164">
        <v>47.9</v>
      </c>
      <c r="F164">
        <v>44.15</v>
      </c>
      <c r="G164">
        <v>243196200</v>
      </c>
      <c r="H164" t="str">
        <f t="shared" si="8"/>
        <v>No</v>
      </c>
      <c r="I164" s="3">
        <f t="shared" si="7"/>
        <v>4.2256846081208721E-2</v>
      </c>
    </row>
    <row r="165" spans="1:9" x14ac:dyDescent="0.3">
      <c r="A165" s="1">
        <v>45292</v>
      </c>
      <c r="B165">
        <v>47.44</v>
      </c>
      <c r="C165">
        <v>47.98</v>
      </c>
      <c r="D165">
        <v>45.91</v>
      </c>
      <c r="E165">
        <v>47.38</v>
      </c>
      <c r="F165">
        <v>44.24</v>
      </c>
      <c r="G165">
        <v>236492000</v>
      </c>
      <c r="H165" t="str">
        <f t="shared" si="8"/>
        <v>No</v>
      </c>
      <c r="I165" s="3">
        <f t="shared" si="7"/>
        <v>2.0385050962627993E-3</v>
      </c>
    </row>
    <row r="166" spans="1:9" x14ac:dyDescent="0.3">
      <c r="A166" s="1">
        <v>45323</v>
      </c>
      <c r="B166">
        <v>47.54</v>
      </c>
      <c r="C166">
        <v>48.91</v>
      </c>
      <c r="D166">
        <v>46.72</v>
      </c>
      <c r="E166">
        <v>48.68</v>
      </c>
      <c r="F166">
        <v>45.46</v>
      </c>
      <c r="G166">
        <v>226252400</v>
      </c>
      <c r="H166" t="str">
        <f t="shared" si="8"/>
        <v>No</v>
      </c>
      <c r="I166" s="3">
        <f t="shared" si="7"/>
        <v>2.7576853526220635E-2</v>
      </c>
    </row>
    <row r="167" spans="1:9" x14ac:dyDescent="0.3">
      <c r="A167" s="1">
        <v>45352</v>
      </c>
      <c r="B167">
        <v>48.89</v>
      </c>
      <c r="C167">
        <v>50.36</v>
      </c>
      <c r="D167">
        <v>48.71</v>
      </c>
      <c r="E167">
        <v>50.17</v>
      </c>
      <c r="F167">
        <v>46.85</v>
      </c>
      <c r="G167">
        <v>216538500</v>
      </c>
      <c r="H167" t="str">
        <f t="shared" si="8"/>
        <v>No</v>
      </c>
      <c r="I167" s="3">
        <f t="shared" si="7"/>
        <v>3.0576330840299093E-2</v>
      </c>
    </row>
    <row r="168" spans="1:9" x14ac:dyDescent="0.3">
      <c r="A168" s="1">
        <v>45383</v>
      </c>
      <c r="B168">
        <v>50.1</v>
      </c>
      <c r="C168">
        <v>50.29</v>
      </c>
      <c r="D168">
        <v>47.65</v>
      </c>
      <c r="E168">
        <v>48.46</v>
      </c>
      <c r="F168">
        <v>45.52</v>
      </c>
      <c r="G168">
        <v>276037900</v>
      </c>
      <c r="H168" t="str">
        <f t="shared" si="8"/>
        <v>No</v>
      </c>
      <c r="I168" s="3">
        <f t="shared" si="7"/>
        <v>-2.8388473852721363E-2</v>
      </c>
    </row>
    <row r="169" spans="1:9" x14ac:dyDescent="0.3">
      <c r="A169" s="1">
        <v>45413</v>
      </c>
      <c r="B169">
        <v>48.41</v>
      </c>
      <c r="C169">
        <v>51.28</v>
      </c>
      <c r="D169">
        <v>48.26</v>
      </c>
      <c r="E169">
        <v>50.72</v>
      </c>
      <c r="F169">
        <v>47.64</v>
      </c>
      <c r="G169">
        <v>195471800</v>
      </c>
      <c r="H169" t="str">
        <f t="shared" si="8"/>
        <v>No</v>
      </c>
      <c r="I169" s="3">
        <f t="shared" si="7"/>
        <v>4.6572934973637903E-2</v>
      </c>
    </row>
    <row r="170" spans="1:9" x14ac:dyDescent="0.3">
      <c r="A170" s="1">
        <v>45444</v>
      </c>
      <c r="B170">
        <v>50.93</v>
      </c>
      <c r="C170">
        <v>51.21</v>
      </c>
      <c r="D170">
        <v>48.95</v>
      </c>
      <c r="E170">
        <v>49.42</v>
      </c>
      <c r="F170">
        <v>46.42</v>
      </c>
      <c r="G170">
        <v>160021900</v>
      </c>
      <c r="H170" t="str">
        <f t="shared" si="8"/>
        <v>No</v>
      </c>
      <c r="I170" s="3">
        <f t="shared" si="7"/>
        <v>-2.5608732157850533E-2</v>
      </c>
    </row>
    <row r="171" spans="1:9" x14ac:dyDescent="0.3">
      <c r="A171" s="1">
        <v>45474</v>
      </c>
      <c r="B171">
        <v>49.63</v>
      </c>
      <c r="C171">
        <v>51.68</v>
      </c>
      <c r="D171">
        <v>49.26</v>
      </c>
      <c r="E171">
        <v>50.91</v>
      </c>
      <c r="F171">
        <v>48.26</v>
      </c>
      <c r="G171">
        <v>181673600</v>
      </c>
      <c r="H171" t="str">
        <f t="shared" si="8"/>
        <v>No</v>
      </c>
      <c r="I171" s="3">
        <f t="shared" si="7"/>
        <v>3.9638087031451885E-2</v>
      </c>
    </row>
    <row r="172" spans="1:9" x14ac:dyDescent="0.3">
      <c r="A172" s="1">
        <v>45505</v>
      </c>
      <c r="B172">
        <v>50.34</v>
      </c>
      <c r="C172">
        <v>52.55</v>
      </c>
      <c r="D172">
        <v>46.8</v>
      </c>
      <c r="E172">
        <v>52.39</v>
      </c>
      <c r="F172">
        <v>49.67</v>
      </c>
      <c r="G172">
        <v>163831100</v>
      </c>
      <c r="H172" t="str">
        <f t="shared" si="8"/>
        <v>No</v>
      </c>
      <c r="I172" s="3">
        <f t="shared" si="7"/>
        <v>2.9216742644011751E-2</v>
      </c>
    </row>
    <row r="173" spans="1:9" x14ac:dyDescent="0.3">
      <c r="A173" s="1">
        <v>45536</v>
      </c>
      <c r="B173">
        <v>52.22</v>
      </c>
      <c r="C173">
        <v>53.4</v>
      </c>
      <c r="D173">
        <v>50.13</v>
      </c>
      <c r="E173">
        <v>52.81</v>
      </c>
      <c r="F173">
        <v>50.06</v>
      </c>
      <c r="G173">
        <v>151432300</v>
      </c>
      <c r="H173" t="str">
        <f t="shared" si="8"/>
        <v>No</v>
      </c>
      <c r="I173" s="3">
        <f t="shared" si="7"/>
        <v>7.8518220253673832E-3</v>
      </c>
    </row>
    <row r="174" spans="1:9" x14ac:dyDescent="0.3">
      <c r="A174" s="1">
        <v>45566</v>
      </c>
      <c r="B174">
        <v>52.8</v>
      </c>
      <c r="C174">
        <v>52.84</v>
      </c>
      <c r="D174">
        <v>49.7</v>
      </c>
      <c r="E174">
        <v>50.1</v>
      </c>
      <c r="F174">
        <v>47.63</v>
      </c>
      <c r="G174">
        <v>194002700</v>
      </c>
      <c r="H174" t="str">
        <f t="shared" si="8"/>
        <v>No</v>
      </c>
      <c r="I174" s="3">
        <f t="shared" si="7"/>
        <v>-4.8541749900119835E-2</v>
      </c>
    </row>
    <row r="175" spans="1:9" x14ac:dyDescent="0.3">
      <c r="A175" s="1">
        <v>45597</v>
      </c>
      <c r="B175">
        <v>50.39</v>
      </c>
      <c r="C175">
        <v>50.98</v>
      </c>
      <c r="D175">
        <v>48.84</v>
      </c>
      <c r="E175">
        <v>50.3</v>
      </c>
      <c r="F175">
        <v>47.82</v>
      </c>
      <c r="G175">
        <v>205527700</v>
      </c>
      <c r="H175" t="str">
        <f t="shared" si="8"/>
        <v>No</v>
      </c>
      <c r="I175" s="3">
        <f t="shared" si="7"/>
        <v>3.9890825110224792E-3</v>
      </c>
    </row>
    <row r="176" spans="1:9" x14ac:dyDescent="0.3">
      <c r="A176" s="1">
        <v>45627</v>
      </c>
      <c r="B176">
        <v>50.32</v>
      </c>
      <c r="C176">
        <v>51.04</v>
      </c>
      <c r="D176">
        <v>47.09</v>
      </c>
      <c r="E176">
        <v>47.82</v>
      </c>
      <c r="F176">
        <v>45.46</v>
      </c>
      <c r="G176">
        <v>292712800</v>
      </c>
      <c r="H176" t="str">
        <f t="shared" si="8"/>
        <v>No</v>
      </c>
      <c r="I176" s="3">
        <f t="shared" si="7"/>
        <v>-4.9351735675449593E-2</v>
      </c>
    </row>
    <row r="177" spans="1:9" x14ac:dyDescent="0.3">
      <c r="A177" s="1">
        <v>45658</v>
      </c>
      <c r="B177">
        <v>47.94</v>
      </c>
      <c r="C177">
        <v>50.65</v>
      </c>
      <c r="D177">
        <v>47.04</v>
      </c>
      <c r="E177">
        <v>49.94</v>
      </c>
      <c r="F177">
        <v>48.18</v>
      </c>
      <c r="G177">
        <v>249456100</v>
      </c>
      <c r="H177" t="str">
        <f t="shared" si="8"/>
        <v>No</v>
      </c>
      <c r="I177" s="3">
        <f t="shared" si="7"/>
        <v>5.9832820061592518E-2</v>
      </c>
    </row>
    <row r="178" spans="1:9" x14ac:dyDescent="0.3">
      <c r="A178" s="1">
        <v>45689</v>
      </c>
      <c r="B178">
        <v>49.01</v>
      </c>
      <c r="C178">
        <v>52.04</v>
      </c>
      <c r="D178">
        <v>48.88</v>
      </c>
      <c r="E178">
        <v>51.07</v>
      </c>
      <c r="F178">
        <v>49.27</v>
      </c>
      <c r="G178">
        <v>196488100</v>
      </c>
      <c r="H178" t="str">
        <f t="shared" si="8"/>
        <v>No</v>
      </c>
      <c r="I178" s="3">
        <f t="shared" si="7"/>
        <v>2.2623495226234969E-2</v>
      </c>
    </row>
    <row r="179" spans="1:9" x14ac:dyDescent="0.3">
      <c r="A179" s="1">
        <v>45717</v>
      </c>
      <c r="B179">
        <v>51.98</v>
      </c>
      <c r="C179">
        <v>53.15</v>
      </c>
      <c r="D179">
        <v>50.36</v>
      </c>
      <c r="E179">
        <v>50.83</v>
      </c>
      <c r="F179">
        <v>49.04</v>
      </c>
      <c r="G179">
        <v>284886900</v>
      </c>
      <c r="H179" t="str">
        <f t="shared" si="8"/>
        <v>No</v>
      </c>
      <c r="I179" s="3">
        <f t="shared" si="7"/>
        <v>-4.6681550639334768E-3</v>
      </c>
    </row>
    <row r="180" spans="1:9" x14ac:dyDescent="0.3">
      <c r="A180" s="1">
        <v>45748</v>
      </c>
      <c r="B180">
        <v>50.94</v>
      </c>
      <c r="C180">
        <v>53.03</v>
      </c>
      <c r="D180">
        <v>45.14</v>
      </c>
      <c r="E180">
        <v>52.87</v>
      </c>
      <c r="F180">
        <v>51.25</v>
      </c>
      <c r="G180">
        <v>379157000</v>
      </c>
      <c r="H180" t="str">
        <f t="shared" si="8"/>
        <v>No</v>
      </c>
      <c r="I180" s="3">
        <f t="shared" si="7"/>
        <v>4.5065252854812332E-2</v>
      </c>
    </row>
    <row r="181" spans="1:9" x14ac:dyDescent="0.3">
      <c r="A181" s="1">
        <v>45778</v>
      </c>
      <c r="B181">
        <v>53.05</v>
      </c>
      <c r="C181">
        <v>55.9</v>
      </c>
      <c r="D181">
        <v>52.58</v>
      </c>
      <c r="E181">
        <v>55.58</v>
      </c>
      <c r="F181">
        <v>53.87</v>
      </c>
      <c r="G181">
        <v>251418800</v>
      </c>
      <c r="H181" t="str">
        <f t="shared" si="8"/>
        <v>No</v>
      </c>
      <c r="I181" s="3">
        <f t="shared" si="7"/>
        <v>5.1121951219512241E-2</v>
      </c>
    </row>
    <row r="182" spans="1:9" x14ac:dyDescent="0.3">
      <c r="A182" s="1">
        <v>45809</v>
      </c>
      <c r="B182">
        <v>55.72</v>
      </c>
      <c r="C182">
        <v>57.05</v>
      </c>
      <c r="D182">
        <v>54.63</v>
      </c>
      <c r="E182">
        <v>57.01</v>
      </c>
      <c r="F182">
        <v>55.26</v>
      </c>
      <c r="G182">
        <v>285729200</v>
      </c>
      <c r="H182" t="str">
        <f t="shared" si="8"/>
        <v>No</v>
      </c>
      <c r="I182" s="3">
        <f t="shared" si="7"/>
        <v>2.5802858733989353E-2</v>
      </c>
    </row>
    <row r="183" spans="1:9" x14ac:dyDescent="0.3">
      <c r="A183" s="1">
        <v>45839</v>
      </c>
      <c r="B183">
        <v>56.87</v>
      </c>
      <c r="C183">
        <v>58.52</v>
      </c>
      <c r="D183">
        <v>56.1</v>
      </c>
      <c r="E183">
        <v>56.22</v>
      </c>
      <c r="F183">
        <v>54.93</v>
      </c>
      <c r="G183">
        <v>251598800</v>
      </c>
      <c r="H183" t="str">
        <f t="shared" si="8"/>
        <v>No</v>
      </c>
      <c r="I183" s="3">
        <f t="shared" si="7"/>
        <v>-5.9717698154180265E-3</v>
      </c>
    </row>
    <row r="184" spans="1:9" x14ac:dyDescent="0.3">
      <c r="A184" s="1">
        <v>45870</v>
      </c>
      <c r="B184">
        <v>56.05</v>
      </c>
      <c r="C184">
        <v>59.67</v>
      </c>
      <c r="D184">
        <v>55.68</v>
      </c>
      <c r="E184">
        <v>58.71</v>
      </c>
      <c r="F184">
        <v>57.36</v>
      </c>
      <c r="G184">
        <v>216718700</v>
      </c>
      <c r="H184" t="str">
        <f t="shared" si="8"/>
        <v>No</v>
      </c>
      <c r="I184" s="3">
        <f t="shared" si="7"/>
        <v>4.4238121245221196E-2</v>
      </c>
    </row>
    <row r="185" spans="1:9" x14ac:dyDescent="0.3">
      <c r="A185" s="1">
        <v>45901</v>
      </c>
      <c r="B185">
        <v>57.9</v>
      </c>
      <c r="C185">
        <v>60.52</v>
      </c>
      <c r="D185">
        <v>57.81</v>
      </c>
      <c r="E185">
        <v>59.92</v>
      </c>
      <c r="F185">
        <v>58.54</v>
      </c>
      <c r="G185">
        <v>270430400</v>
      </c>
      <c r="H185" t="str">
        <f t="shared" si="8"/>
        <v>No</v>
      </c>
      <c r="I185" s="3">
        <f t="shared" si="7"/>
        <v>2.0571827057182634E-2</v>
      </c>
    </row>
    <row r="186" spans="1:9" x14ac:dyDescent="0.3">
      <c r="A186" s="1">
        <v>45931</v>
      </c>
      <c r="B186">
        <v>60.21</v>
      </c>
      <c r="C186">
        <v>61.8</v>
      </c>
      <c r="D186">
        <v>59.1</v>
      </c>
      <c r="E186">
        <v>60.98</v>
      </c>
      <c r="F186">
        <v>59.86</v>
      </c>
      <c r="G186">
        <v>267552400</v>
      </c>
      <c r="H186" t="str">
        <f t="shared" si="8"/>
        <v>No</v>
      </c>
      <c r="I186" s="3">
        <f t="shared" si="7"/>
        <v>2.2548684660061546E-2</v>
      </c>
    </row>
    <row r="187" spans="1:9" x14ac:dyDescent="0.3">
      <c r="A187" s="1">
        <v>45962</v>
      </c>
      <c r="B187">
        <v>61.17</v>
      </c>
      <c r="C187">
        <v>62.2</v>
      </c>
      <c r="D187">
        <v>58.88</v>
      </c>
      <c r="E187">
        <v>61.57</v>
      </c>
      <c r="F187">
        <v>60.44</v>
      </c>
      <c r="G187">
        <v>258305400</v>
      </c>
      <c r="H187" t="str">
        <f t="shared" si="8"/>
        <v>No</v>
      </c>
      <c r="I187" s="3">
        <f t="shared" si="7"/>
        <v>9.6892749749415419E-3</v>
      </c>
    </row>
    <row r="188" spans="1:9" x14ac:dyDescent="0.3">
      <c r="A188" s="1">
        <v>45992</v>
      </c>
      <c r="B188">
        <v>61.34</v>
      </c>
      <c r="C188">
        <v>63.08</v>
      </c>
      <c r="D188">
        <v>61.23</v>
      </c>
      <c r="E188">
        <v>62.47</v>
      </c>
      <c r="F188">
        <v>61.33</v>
      </c>
      <c r="G188">
        <v>353226100</v>
      </c>
      <c r="H188" t="str">
        <f t="shared" si="8"/>
        <v>No</v>
      </c>
      <c r="I188" s="3">
        <f t="shared" si="7"/>
        <v>1.4725347452018589E-2</v>
      </c>
    </row>
    <row r="189" spans="1:9" x14ac:dyDescent="0.3">
      <c r="A189" s="1">
        <v>46023</v>
      </c>
      <c r="B189">
        <v>63.15</v>
      </c>
      <c r="C189">
        <v>67.39</v>
      </c>
      <c r="D189">
        <v>62.85</v>
      </c>
      <c r="E189">
        <v>66.2</v>
      </c>
      <c r="F189">
        <v>66.09</v>
      </c>
      <c r="G189">
        <v>454887200</v>
      </c>
      <c r="H189" t="str">
        <f t="shared" si="8"/>
        <v>No</v>
      </c>
      <c r="I189" s="3">
        <f t="shared" si="7"/>
        <v>7.7612913745312317E-2</v>
      </c>
    </row>
    <row r="190" spans="1:9" x14ac:dyDescent="0.3">
      <c r="A190" s="1">
        <v>46054</v>
      </c>
      <c r="B190">
        <v>66.040000000000006</v>
      </c>
      <c r="C190">
        <v>70.55</v>
      </c>
      <c r="D190">
        <v>65.8</v>
      </c>
      <c r="E190">
        <v>70.239999999999995</v>
      </c>
      <c r="F190">
        <v>70.12</v>
      </c>
      <c r="G190">
        <v>364250700</v>
      </c>
      <c r="H190" t="str">
        <f t="shared" si="8"/>
        <v>No</v>
      </c>
      <c r="I190" s="3">
        <f t="shared" si="7"/>
        <v>6.0977454985625679E-2</v>
      </c>
    </row>
    <row r="191" spans="1:9" x14ac:dyDescent="0.3">
      <c r="A191" s="1">
        <v>46082</v>
      </c>
      <c r="B191">
        <v>68.569999999999993</v>
      </c>
      <c r="C191">
        <v>69.3</v>
      </c>
      <c r="D191">
        <v>61.68</v>
      </c>
      <c r="E191">
        <v>64.08</v>
      </c>
      <c r="F191">
        <v>63.97</v>
      </c>
      <c r="G191">
        <v>473543600</v>
      </c>
      <c r="H191" t="str">
        <f t="shared" si="8"/>
        <v>No</v>
      </c>
      <c r="I191" s="3">
        <f t="shared" si="7"/>
        <v>-8.7706788362806654E-2</v>
      </c>
    </row>
    <row r="192" spans="1:9" x14ac:dyDescent="0.3">
      <c r="A192" s="1">
        <v>46113</v>
      </c>
      <c r="B192">
        <v>64.97</v>
      </c>
      <c r="C192">
        <v>70.17</v>
      </c>
      <c r="D192">
        <v>63.45</v>
      </c>
      <c r="E192">
        <v>68.8</v>
      </c>
      <c r="F192">
        <v>68.8</v>
      </c>
      <c r="G192">
        <v>265008700</v>
      </c>
      <c r="H192" t="str">
        <f t="shared" si="8"/>
        <v>No</v>
      </c>
      <c r="I192" s="3">
        <f t="shared" si="7"/>
        <v>7.5504142566828136E-2</v>
      </c>
    </row>
    <row r="193" spans="1:9" x14ac:dyDescent="0.3">
      <c r="A193" s="1">
        <v>46143</v>
      </c>
      <c r="B193">
        <v>68.819999999999993</v>
      </c>
      <c r="C193">
        <v>72.23</v>
      </c>
      <c r="D193">
        <v>67.709999999999994</v>
      </c>
      <c r="E193">
        <v>71.77</v>
      </c>
      <c r="F193">
        <v>71.77</v>
      </c>
      <c r="G193">
        <v>218897000</v>
      </c>
      <c r="H193" t="str">
        <f t="shared" si="8"/>
        <v>No</v>
      </c>
      <c r="I193" s="3">
        <f t="shared" si="7"/>
        <v>4.316860465116279E-2</v>
      </c>
    </row>
    <row r="194" spans="1:9" x14ac:dyDescent="0.3">
      <c r="A194" s="1">
        <v>46174</v>
      </c>
      <c r="B194">
        <v>71.55</v>
      </c>
      <c r="C194">
        <v>72.319999999999993</v>
      </c>
      <c r="D194">
        <v>68.599999999999994</v>
      </c>
      <c r="E194">
        <v>71.55</v>
      </c>
      <c r="F194">
        <v>71.55</v>
      </c>
      <c r="G194">
        <v>116149500</v>
      </c>
      <c r="H194" t="str">
        <f t="shared" si="8"/>
        <v>No</v>
      </c>
      <c r="I194" s="3">
        <f t="shared" si="7"/>
        <v>-3.0653476382889178E-3</v>
      </c>
    </row>
    <row r="195" spans="1:9" x14ac:dyDescent="0.3">
      <c r="A195" s="1">
        <v>46185</v>
      </c>
      <c r="B195">
        <v>71.14</v>
      </c>
      <c r="C195">
        <v>71.8</v>
      </c>
      <c r="D195">
        <v>70.819999999999993</v>
      </c>
      <c r="E195">
        <v>71.55</v>
      </c>
      <c r="F195">
        <v>71.55</v>
      </c>
      <c r="G195">
        <v>15844382</v>
      </c>
      <c r="H195" t="str">
        <f t="shared" si="8"/>
        <v>No</v>
      </c>
      <c r="I195" s="3">
        <f t="shared" si="7"/>
        <v>0</v>
      </c>
    </row>
    <row r="198" spans="1:9" x14ac:dyDescent="0.3">
      <c r="H198" s="2" t="s">
        <v>11</v>
      </c>
      <c r="I198" s="4">
        <f>AVERAGE(I3:I195)</f>
        <v>8.2883116872515331E-3</v>
      </c>
    </row>
    <row r="199" spans="1:9" x14ac:dyDescent="0.3">
      <c r="H199" s="2" t="s">
        <v>12</v>
      </c>
      <c r="I199" s="4">
        <f>STDEV(I3:I195)</f>
        <v>4.6839367283272058E-2</v>
      </c>
    </row>
  </sheetData>
  <sortState xmlns:xlrd2="http://schemas.microsoft.com/office/spreadsheetml/2017/richdata2" ref="A2:H195">
    <sortCondition ref="A2:A19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 Objective</vt:lpstr>
      <vt:lpstr>Optimal 1</vt:lpstr>
      <vt:lpstr>Optimal 2</vt:lpstr>
      <vt:lpstr>Simulation</vt:lpstr>
      <vt:lpstr>S&amp;P 500</vt:lpstr>
      <vt:lpstr>Vanguard Total bond market indx</vt:lpstr>
      <vt:lpstr>TB3MS</vt:lpstr>
      <vt:lpstr>QQQ (Nasdaq)</vt:lpstr>
      <vt:lpstr>IWM(Russel 2000)</vt:lpstr>
      <vt:lpstr>VNQ- Real Estate</vt:lpstr>
      <vt:lpstr>Gold</vt:lpstr>
      <vt:lpstr>FTSE Developed Markets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Bahubali ...</dc:creator>
  <cp:lastModifiedBy>Bahubali ...</cp:lastModifiedBy>
  <dcterms:created xsi:type="dcterms:W3CDTF">2026-06-13T03:04:06Z</dcterms:created>
  <dcterms:modified xsi:type="dcterms:W3CDTF">2026-06-16T13:37:20Z</dcterms:modified>
</cp:coreProperties>
</file>